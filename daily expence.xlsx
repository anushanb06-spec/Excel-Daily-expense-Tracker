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Raw Data" sheetId="1" r:id="rId1"/>
    <sheet name="Cleaned data" sheetId="3" r:id="rId2"/>
    <sheet name="Pivot Table" sheetId="4" r:id="rId3"/>
    <sheet name="KPI" sheetId="5" r:id="rId4"/>
    <sheet name="DASHBOARD" sheetId="6" r:id="rId5"/>
  </sheets>
  <definedNames>
    <definedName name="_xlnm._FilterDatabase" localSheetId="0" hidden="1">'Raw Data'!$A$1:$J$101</definedName>
    <definedName name="Slicer_Need_Want">#N/A</definedName>
    <definedName name="Slicer_City">#N/A</definedName>
    <definedName name="Slicer_Payment_Method">#N/A</definedName>
    <definedName name="Slicer_Category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<sst xmlns="http://schemas.openxmlformats.org/spreadsheetml/2006/main" count="1477" uniqueCount="90">
  <si>
    <t>Expense ID</t>
  </si>
  <si>
    <t>Date</t>
  </si>
  <si>
    <t>Day</t>
  </si>
  <si>
    <t>Category</t>
  </si>
  <si>
    <t>Subcategory</t>
  </si>
  <si>
    <t>Amount (INR)</t>
  </si>
  <si>
    <t>Payment Method</t>
  </si>
  <si>
    <t>City</t>
  </si>
  <si>
    <t>Recurring</t>
  </si>
  <si>
    <t>Need/Want</t>
  </si>
  <si>
    <t>Friday</t>
  </si>
  <si>
    <t>Transport</t>
  </si>
  <si>
    <t>Bus</t>
  </si>
  <si>
    <t>UPI</t>
  </si>
  <si>
    <t>Mysuru</t>
  </si>
  <si>
    <t>Yes</t>
  </si>
  <si>
    <t>Need</t>
  </si>
  <si>
    <t>Monday</t>
  </si>
  <si>
    <t>Others</t>
  </si>
  <si>
    <t>Miscellaneous</t>
  </si>
  <si>
    <t>Cash</t>
  </si>
  <si>
    <t>No</t>
  </si>
  <si>
    <t>Want</t>
  </si>
  <si>
    <t>Thursday</t>
  </si>
  <si>
    <t>Donation</t>
  </si>
  <si>
    <t>Net Banking</t>
  </si>
  <si>
    <t>Ballari</t>
  </si>
  <si>
    <t>Bills</t>
  </si>
  <si>
    <t>Mobile Recharge</t>
  </si>
  <si>
    <t>Credit Card</t>
  </si>
  <si>
    <t>Health</t>
  </si>
  <si>
    <t>Doctor</t>
  </si>
  <si>
    <t>Debit Card</t>
  </si>
  <si>
    <t>Hyderabad</t>
  </si>
  <si>
    <t>Metro</t>
  </si>
  <si>
    <t>Chennai</t>
  </si>
  <si>
    <t>Sunday</t>
  </si>
  <si>
    <t>Food</t>
  </si>
  <si>
    <t>Dinner</t>
  </si>
  <si>
    <t>Wednesday</t>
  </si>
  <si>
    <t>Internet</t>
  </si>
  <si>
    <t>Bengaluru</t>
  </si>
  <si>
    <t>Shopping</t>
  </si>
  <si>
    <t>Personal Care</t>
  </si>
  <si>
    <t>Gift</t>
  </si>
  <si>
    <t>Electricity</t>
  </si>
  <si>
    <t>Saturday</t>
  </si>
  <si>
    <t>Entertainment</t>
  </si>
  <si>
    <t>Games</t>
  </si>
  <si>
    <t>Water</t>
  </si>
  <si>
    <t>Education</t>
  </si>
  <si>
    <t>Books</t>
  </si>
  <si>
    <t>Electronics</t>
  </si>
  <si>
    <t>Cafe</t>
  </si>
  <si>
    <t>Movie</t>
  </si>
  <si>
    <t>Breakfast</t>
  </si>
  <si>
    <t>Health Checkup</t>
  </si>
  <si>
    <t>Snacks</t>
  </si>
  <si>
    <t>Stationery</t>
  </si>
  <si>
    <t>Tuesday</t>
  </si>
  <si>
    <t>Auto</t>
  </si>
  <si>
    <t>Online Course</t>
  </si>
  <si>
    <t>Cab</t>
  </si>
  <si>
    <t>Lunch</t>
  </si>
  <si>
    <t>OTT Subscription</t>
  </si>
  <si>
    <t>Fuel</t>
  </si>
  <si>
    <t>Clothes</t>
  </si>
  <si>
    <t>Grocery</t>
  </si>
  <si>
    <t>MONTH</t>
  </si>
  <si>
    <t>month Number</t>
  </si>
  <si>
    <t>Expense Level</t>
  </si>
  <si>
    <t>Day Type</t>
  </si>
  <si>
    <t>Transaction Number</t>
  </si>
  <si>
    <t>Sum of Amount (INR)</t>
  </si>
  <si>
    <t>Grand Total</t>
  </si>
  <si>
    <t>May</t>
  </si>
  <si>
    <t>June</t>
  </si>
  <si>
    <t>July</t>
  </si>
  <si>
    <t>August</t>
  </si>
  <si>
    <t>KPI</t>
  </si>
  <si>
    <t>VALUES</t>
  </si>
  <si>
    <t>Total Expense</t>
  </si>
  <si>
    <t>Average Expense</t>
  </si>
  <si>
    <t>Transactions</t>
  </si>
  <si>
    <t>Highest Expense</t>
  </si>
  <si>
    <t>Lowest Expense</t>
  </si>
  <si>
    <r>
      <rPr>
        <sz val="26"/>
        <color theme="0"/>
        <rFont val="Algerian"/>
        <charset val="134"/>
      </rPr>
      <t>DAILY  EXPENCE  TRACKER  DASHBOARD</t>
    </r>
    <r>
      <rPr>
        <sz val="20"/>
        <color theme="0"/>
        <rFont val="Algerian"/>
        <charset val="134"/>
      </rPr>
      <t xml:space="preserve"> </t>
    </r>
  </si>
  <si>
    <t>TOTAL EXPENSE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</si>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</sst>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m/d/yyyy;@"/>
    <numFmt numFmtId="182" formatCode="&quot;₹&quot;#,##0.00;&quot;₹&quot;\-#,##0.00"/>
    <numFmt numFmtId="183" formatCode="dd/mm/yyyy"/>
    <numFmt numFmtId="184" formatCode="&quot;₹&quot;#,##0.00"/>
  </numFmts>
  <fonts count="28">
    <font>
      <sz val="11"/>
      <color theme="1"/>
      <name val="Calibri"/>
      <charset val="134"/>
      <scheme val="minor"/>
    </font>
    <font>
      <sz val="14"/>
      <color theme="0"/>
      <name val="Elephant"/>
      <charset val="134"/>
    </font>
    <font>
      <sz val="14"/>
      <color theme="0"/>
      <name val="Algerian"/>
      <charset val="134"/>
    </font>
    <font>
      <sz val="26"/>
      <color theme="0"/>
      <name val="Algerian"/>
      <charset val="134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0"/>
      <color theme="0"/>
      <name val="Algeri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 applyAlignment="1"/>
    <xf numFmtId="0" fontId="4" fillId="3" borderId="0" xfId="0" applyFont="1" applyFill="1" applyAlignment="1">
      <alignment horizontal="center"/>
    </xf>
    <xf numFmtId="0" fontId="0" fillId="0" borderId="0" xfId="0" applyAlignment="1"/>
    <xf numFmtId="18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6" fillId="5" borderId="0" xfId="0" applyFont="1" applyFill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0" fontId="7" fillId="0" borderId="1" xfId="0" applyFont="1" applyBorder="1" applyAlignment="1">
      <alignment horizontal="center" vertical="top"/>
    </xf>
    <xf numFmtId="181" fontId="7" fillId="0" borderId="1" xfId="0" applyNumberFormat="1" applyFont="1" applyBorder="1" applyAlignment="1">
      <alignment horizontal="center" vertical="top"/>
    </xf>
    <xf numFmtId="182" fontId="7" fillId="0" borderId="1" xfId="0" applyNumberFormat="1" applyFont="1" applyBorder="1" applyAlignment="1">
      <alignment horizontal="center" vertical="top"/>
    </xf>
    <xf numFmtId="0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181" formatCode="m/d/yyyy;@"/>
    </dxf>
    <dxf>
      <numFmt numFmtId="182" formatCode="&quot;₹&quot;#,##0.00;&quot;₹&quot;\-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expence.xlsx]Pivot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Expense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Table'!$A$4:$A$12</c:f>
              <c:strCache>
                <c:ptCount val="8"/>
                <c:pt idx="0">
                  <c:v>Bills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Others</c:v>
                </c:pt>
                <c:pt idx="6">
                  <c:v>Shopping</c:v>
                </c:pt>
                <c:pt idx="7">
                  <c:v>Transport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27850.2</c:v>
                </c:pt>
                <c:pt idx="1">
                  <c:v>19377.25</c:v>
                </c:pt>
                <c:pt idx="2">
                  <c:v>10715.69</c:v>
                </c:pt>
                <c:pt idx="3">
                  <c:v>6998.23</c:v>
                </c:pt>
                <c:pt idx="4">
                  <c:v>12566.75</c:v>
                </c:pt>
                <c:pt idx="5">
                  <c:v>22605.43</c:v>
                </c:pt>
                <c:pt idx="6">
                  <c:v>14473.93</c:v>
                </c:pt>
                <c:pt idx="7">
                  <c:v>10767.21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34657709"/>
        <c:axId val="811385239"/>
      </c:barChart>
      <c:catAx>
        <c:axId val="8346577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385239"/>
        <c:crosses val="autoZero"/>
        <c:auto val="1"/>
        <c:lblAlgn val="ctr"/>
        <c:lblOffset val="100"/>
        <c:noMultiLvlLbl val="0"/>
      </c:catAx>
      <c:valAx>
        <c:axId val="811385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6577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72d644-089e-43ac-a22b-789d8a6542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expence.xlsx]Pivot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Expense by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95526315789474"/>
          <c:y val="0.254861111111111"/>
          <c:w val="0.773078947368421"/>
          <c:h val="0.53412037037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Table'!$F$4:$F$9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Table'!$G$4:$G$9</c:f>
              <c:numCache>
                <c:formatCode>General</c:formatCode>
                <c:ptCount val="5"/>
                <c:pt idx="0">
                  <c:v>26941.67</c:v>
                </c:pt>
                <c:pt idx="1">
                  <c:v>17973.33</c:v>
                </c:pt>
                <c:pt idx="2">
                  <c:v>24542.72</c:v>
                </c:pt>
                <c:pt idx="3">
                  <c:v>31310.31</c:v>
                </c:pt>
                <c:pt idx="4">
                  <c:v>24586.66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288548"/>
        <c:axId val="598645596"/>
      </c:barChart>
      <c:catAx>
        <c:axId val="852885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645596"/>
        <c:crosses val="autoZero"/>
        <c:auto val="1"/>
        <c:lblAlgn val="ctr"/>
        <c:lblOffset val="100"/>
        <c:noMultiLvlLbl val="0"/>
      </c:catAx>
      <c:valAx>
        <c:axId val="5986455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885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9e5acd-46af-474d-8360-163e26869d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expence.xlsx]Pivot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Need vs Want Expense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0624349635796046"/>
          <c:y val="0.304653661629443"/>
          <c:w val="0.764868421052632"/>
          <c:h val="0.68587962962963"/>
        </c:manualLayout>
      </c:layout>
      <c:pie3D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'Pivot Table'!$A$17:$A$19</c:f>
              <c:strCache>
                <c:ptCount val="2"/>
                <c:pt idx="0">
                  <c:v>Need</c:v>
                </c:pt>
                <c:pt idx="1">
                  <c:v>Want</c:v>
                </c:pt>
              </c:strCache>
            </c:strRef>
          </c:cat>
          <c:val>
            <c:numRef>
              <c:f>'Pivot Table'!$B$17:$B$19</c:f>
              <c:numCache>
                <c:formatCode>General</c:formatCode>
                <c:ptCount val="2"/>
                <c:pt idx="0">
                  <c:v>62135.59</c:v>
                </c:pt>
                <c:pt idx="1">
                  <c:v>63219.1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06fa65-9f15-4c75-82f9-24b1a8493f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expence.xlsx]Pivot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Expense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Table'!$G$16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Table'!$F$17:$F$21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'Pivot Table'!$G$17:$G$21</c:f>
              <c:numCache>
                <c:formatCode>General</c:formatCode>
                <c:ptCount val="4"/>
                <c:pt idx="0">
                  <c:v>25787.56</c:v>
                </c:pt>
                <c:pt idx="1">
                  <c:v>30740.54</c:v>
                </c:pt>
                <c:pt idx="2">
                  <c:v>40054.61</c:v>
                </c:pt>
                <c:pt idx="3">
                  <c:v>28771.98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23c4f5-75ed-4eb2-81dd-6f0680431f9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152400</xdr:colOff>
      <xdr:row>7</xdr:row>
      <xdr:rowOff>17780</xdr:rowOff>
    </xdr:from>
    <xdr:to>
      <xdr:col>24</xdr:col>
      <xdr:colOff>467360</xdr:colOff>
      <xdr:row>44</xdr:row>
      <xdr:rowOff>91440</xdr:rowOff>
    </xdr:to>
    <xdr:sp>
      <xdr:nvSpPr>
        <xdr:cNvPr id="7" name="Rounded Rectangle 6"/>
        <xdr:cNvSpPr/>
      </xdr:nvSpPr>
      <xdr:spPr>
        <a:xfrm>
          <a:off x="152400" y="1549400"/>
          <a:ext cx="15341600" cy="6840220"/>
        </a:xfrm>
        <a:prstGeom prst="roundRect">
          <a:avLst/>
        </a:prstGeom>
        <a:solidFill>
          <a:schemeClr val="accent4">
            <a:lumMod val="50000"/>
          </a:schemeClr>
        </a:solidFill>
      </xdr:spPr>
      <xdr:style>
        <a:lnRef idx="0">
          <a:srgbClr val="FFFFFF"/>
        </a:lnRef>
        <a:fillRef idx="2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110490</xdr:colOff>
      <xdr:row>12</xdr:row>
      <xdr:rowOff>2540</xdr:rowOff>
    </xdr:from>
    <xdr:to>
      <xdr:col>8</xdr:col>
      <xdr:colOff>190500</xdr:colOff>
      <xdr:row>26</xdr:row>
      <xdr:rowOff>85725</xdr:rowOff>
    </xdr:to>
    <xdr:graphicFrame>
      <xdr:nvGraphicFramePr>
        <xdr:cNvPr id="8" name="Chart 7"/>
        <xdr:cNvGraphicFramePr/>
      </xdr:nvGraphicFramePr>
      <xdr:xfrm>
        <a:off x="1939290" y="2448560"/>
        <a:ext cx="3402330" cy="2643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391160</xdr:colOff>
      <xdr:row>11</xdr:row>
      <xdr:rowOff>180340</xdr:rowOff>
    </xdr:from>
    <xdr:to>
      <xdr:col>15</xdr:col>
      <xdr:colOff>302260</xdr:colOff>
      <xdr:row>25</xdr:row>
      <xdr:rowOff>66675</xdr:rowOff>
    </xdr:to>
    <xdr:graphicFrame>
      <xdr:nvGraphicFramePr>
        <xdr:cNvPr id="9" name="Chart 8"/>
        <xdr:cNvGraphicFramePr/>
      </xdr:nvGraphicFramePr>
      <xdr:xfrm>
        <a:off x="6151880" y="2443480"/>
        <a:ext cx="3690620" cy="2446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162560</xdr:colOff>
      <xdr:row>28</xdr:row>
      <xdr:rowOff>18415</xdr:rowOff>
    </xdr:from>
    <xdr:to>
      <xdr:col>8</xdr:col>
      <xdr:colOff>165735</xdr:colOff>
      <xdr:row>39</xdr:row>
      <xdr:rowOff>19050</xdr:rowOff>
    </xdr:to>
    <xdr:graphicFrame>
      <xdr:nvGraphicFramePr>
        <xdr:cNvPr id="10" name="Chart 9"/>
        <xdr:cNvGraphicFramePr/>
      </xdr:nvGraphicFramePr>
      <xdr:xfrm>
        <a:off x="1991360" y="5390515"/>
        <a:ext cx="3325495" cy="2012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422910</xdr:colOff>
      <xdr:row>27</xdr:row>
      <xdr:rowOff>118745</xdr:rowOff>
    </xdr:from>
    <xdr:to>
      <xdr:col>15</xdr:col>
      <xdr:colOff>379730</xdr:colOff>
      <xdr:row>39</xdr:row>
      <xdr:rowOff>50800</xdr:rowOff>
    </xdr:to>
    <xdr:graphicFrame>
      <xdr:nvGraphicFramePr>
        <xdr:cNvPr id="11" name="Chart 10"/>
        <xdr:cNvGraphicFramePr/>
      </xdr:nvGraphicFramePr>
      <xdr:xfrm>
        <a:off x="6183630" y="5307965"/>
        <a:ext cx="3736340" cy="2126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561975</xdr:colOff>
      <xdr:row>13</xdr:row>
      <xdr:rowOff>34290</xdr:rowOff>
    </xdr:from>
    <xdr:to>
      <xdr:col>20</xdr:col>
      <xdr:colOff>523875</xdr:colOff>
      <xdr:row>21</xdr:row>
      <xdr:rowOff>123190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1815" y="2663190"/>
              <a:ext cx="2400300" cy="1551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165735</xdr:colOff>
      <xdr:row>13</xdr:row>
      <xdr:rowOff>84455</xdr:rowOff>
    </xdr:from>
    <xdr:to>
      <xdr:col>24</xdr:col>
      <xdr:colOff>165735</xdr:colOff>
      <xdr:row>22</xdr:row>
      <xdr:rowOff>167640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3575" y="2713355"/>
              <a:ext cx="1828800" cy="1729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360045</xdr:colOff>
      <xdr:row>28</xdr:row>
      <xdr:rowOff>107315</xdr:rowOff>
    </xdr:from>
    <xdr:to>
      <xdr:col>19</xdr:col>
      <xdr:colOff>360045</xdr:colOff>
      <xdr:row>37</xdr:row>
      <xdr:rowOff>144145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09885" y="5479415"/>
              <a:ext cx="1828800" cy="1682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199390</xdr:colOff>
      <xdr:row>30</xdr:row>
      <xdr:rowOff>116840</xdr:rowOff>
    </xdr:from>
    <xdr:to>
      <xdr:col>24</xdr:col>
      <xdr:colOff>199390</xdr:colOff>
      <xdr:row>38</xdr:row>
      <xdr:rowOff>61595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Need/Wa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eed/Wa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7230" y="5854700"/>
              <a:ext cx="1828800" cy="1407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3.3633217593" refreshedBy="Anusha" recordCount="100">
  <cacheSource type="worksheet">
    <worksheetSource name="Table2"/>
  </cacheSource>
  <cacheFields count="15">
    <cacheField name="Expense 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Date" numFmtId="181">
      <sharedItems containsSemiMixedTypes="0" containsString="0" containsNonDate="0" containsDate="1" minDate="2026-05-01T00:00:00" maxDate="2026-08-29T00:00:00" count="68">
        <d v="2026-05-01T00:00:00"/>
        <d v="2026-05-04T00:00:00"/>
        <d v="2026-05-07T00:00:00"/>
        <d v="2026-05-11T00:00:00"/>
        <d v="2026-05-14T00:00:00"/>
        <d v="2026-05-15T00:00:00"/>
        <d v="2026-05-17T00:00:00"/>
        <d v="2026-05-20T00:00:00"/>
        <d v="2026-05-21T00:00:00"/>
        <d v="2026-05-23T00:00:00"/>
        <d v="2026-05-24T00:00:00"/>
        <d v="2026-05-25T00:00:00"/>
        <d v="2026-05-27T00:00:00"/>
        <d v="2026-05-29T00:00:00"/>
        <d v="2026-05-30T00:00:00"/>
        <d v="2026-05-31T00:00:00"/>
        <d v="2026-06-01T00:00:00"/>
        <d v="2026-06-03T00:00:00"/>
        <d v="2026-06-04T00:00:00"/>
        <d v="2026-06-05T00:00:00"/>
        <d v="2026-06-06T00:00:00"/>
        <d v="2026-06-07T00:00:00"/>
        <d v="2026-06-11T00:00:00"/>
        <d v="2026-06-13T00:00:00"/>
        <d v="2026-06-14T00:00:00"/>
        <d v="2026-06-15T00:00:00"/>
        <d v="2026-06-19T00:00:00"/>
        <d v="2026-06-21T00:00:00"/>
        <d v="2026-06-22T00:00:00"/>
        <d v="2026-06-23T00:00:00"/>
        <d v="2026-06-25T00:00:00"/>
        <d v="2026-06-30T00:00:00"/>
        <d v="2026-07-01T00:00:00"/>
        <d v="2026-07-02T00:00:00"/>
        <d v="2026-07-04T00:00:00"/>
        <d v="2026-07-05T00:00:00"/>
        <d v="2026-07-08T00:00:00"/>
        <d v="2026-07-10T00:00:00"/>
        <d v="2026-07-12T00:00:00"/>
        <d v="2026-07-13T00:00:00"/>
        <d v="2026-07-14T00:00:00"/>
        <d v="2026-07-15T00:00:00"/>
        <d v="2026-07-16T00:00:00"/>
        <d v="2026-07-17T00:00:00"/>
        <d v="2026-07-21T00:00:00"/>
        <d v="2026-07-23T00:00:00"/>
        <d v="2026-07-24T00:00:00"/>
        <d v="2026-07-25T00:00:00"/>
        <d v="2026-07-26T00:00:00"/>
        <d v="2026-07-27T00:00:00"/>
        <d v="2026-07-28T00:00:00"/>
        <d v="2026-08-04T00:00:00"/>
        <d v="2026-08-05T00:00:00"/>
        <d v="2026-08-07T00:00:00"/>
        <d v="2026-08-08T00:00:00"/>
        <d v="2026-08-09T00:00:00"/>
        <d v="2026-08-11T00:00:00"/>
        <d v="2026-08-14T00:00:00"/>
        <d v="2026-08-15T00:00:00"/>
        <d v="2026-08-17T00:00:00"/>
        <d v="2026-08-19T00:00:00"/>
        <d v="2026-08-20T00:00:00"/>
        <d v="2026-08-21T00:00:00"/>
        <d v="2026-08-23T00:00:00"/>
        <d v="2026-08-24T00:00:00"/>
        <d v="2026-08-27T00:00:00"/>
        <d v="2026-08-28T00:00:00"/>
        <d v="2026-08-29T00:00:00"/>
      </sharedItems>
    </cacheField>
    <cacheField name="Day" numFmtId="0">
      <sharedItems count="7">
        <s v="Friday"/>
        <s v="Monday"/>
        <s v="Thursday"/>
        <s v="Sunday"/>
        <s v="Wednesday"/>
        <s v="Saturday"/>
        <s v="Tuesday"/>
      </sharedItems>
    </cacheField>
    <cacheField name="Category" numFmtId="0">
      <sharedItems count="8">
        <s v="Transport"/>
        <s v="Others"/>
        <s v="Bills"/>
        <s v="Health"/>
        <s v="Food"/>
        <s v="Shopping"/>
        <s v="Entertainment"/>
        <s v="Education"/>
      </sharedItems>
    </cacheField>
    <cacheField name="Subcategory" numFmtId="0">
      <sharedItems count="29">
        <s v="Bus"/>
        <s v="Miscellaneous"/>
        <s v="Donation"/>
        <s v="Mobile Recharge"/>
        <s v="Doctor"/>
        <s v="Metro"/>
        <s v="Dinner"/>
        <s v="Internet"/>
        <s v="Personal Care"/>
        <s v="Gift"/>
        <s v="Electricity"/>
        <s v="Games"/>
        <s v="Water"/>
        <s v="Books"/>
        <s v="Electronics"/>
        <s v="Cafe"/>
        <s v="Movie"/>
        <s v="Breakfast"/>
        <s v="Health Checkup"/>
        <s v="Snacks"/>
        <s v="Stationery"/>
        <s v="Auto"/>
        <s v="Online Course"/>
        <s v="Cab"/>
        <s v="Lunch"/>
        <s v="OTT Subscription"/>
        <s v="Fuel"/>
        <s v="Clothes"/>
        <s v="Grocery"/>
      </sharedItems>
    </cacheField>
    <cacheField name="Amount (INR)" numFmtId="182">
      <sharedItems containsSemiMixedTypes="0" containsString="0" containsNumber="1" minValue="129.97" maxValue="4983.83" count="100">
        <n v="290.15"/>
        <n v="495.51"/>
        <n v="2302.5"/>
        <n v="1202.37"/>
        <n v="2212.78"/>
        <n v="663.8"/>
        <n v="323.49"/>
        <n v="396.41"/>
        <n v="563.13"/>
        <n v="711.37"/>
        <n v="2386.85"/>
        <n v="1773.67"/>
        <n v="1700.78"/>
        <n v="1415.64"/>
        <n v="750.82"/>
        <n v="449.73"/>
        <n v="901.85"/>
        <n v="1474.95"/>
        <n v="1114.01"/>
        <n v="910"/>
        <n v="350.87"/>
        <n v="3396.88"/>
        <n v="1356.95"/>
        <n v="1080.45"/>
        <n v="1086.37"/>
        <n v="713.81"/>
        <n v="422.75"/>
        <n v="1371.12"/>
        <n v="1798.18"/>
        <n v="823.28"/>
        <n v="465.02"/>
        <n v="690.43"/>
        <n v="1779.62"/>
        <n v="2106.18"/>
        <n v="957.4"/>
        <n v="578.63"/>
        <n v="1174.66"/>
        <n v="2135.28"/>
        <n v="407.73"/>
        <n v="4348.89"/>
        <n v="2002.57"/>
        <n v="182.72"/>
        <n v="1673.57"/>
        <n v="755.32"/>
        <n v="2320.57"/>
        <n v="509.04"/>
        <n v="2717.08"/>
        <n v="746.82"/>
        <n v="1973.12"/>
        <n v="587.01"/>
        <n v="1406.56"/>
        <n v="1901.67"/>
        <n v="736.32"/>
        <n v="908.29"/>
        <n v="4983.83"/>
        <n v="760.69"/>
        <n v="770.2"/>
        <n v="364.42"/>
        <n v="481.85"/>
        <n v="1162.33"/>
        <n v="532.06"/>
        <n v="2121.86"/>
        <n v="470.31"/>
        <n v="1121.62"/>
        <n v="895.03"/>
        <n v="2217.47"/>
        <n v="744.78"/>
        <n v="454.56"/>
        <n v="628.23"/>
        <n v="940.54"/>
        <n v="3140.73"/>
        <n v="517.87"/>
        <n v="2119.46"/>
        <n v="1229.19"/>
        <n v="906.04"/>
        <n v="2384.7"/>
        <n v="129.97"/>
        <n v="685.02"/>
        <n v="2521.24"/>
        <n v="933.67"/>
        <n v="3108.28"/>
        <n v="2734.66"/>
        <n v="516.5"/>
        <n v="246.08"/>
        <n v="561.67"/>
        <n v="1112.13"/>
        <n v="1060.32"/>
        <n v="759.7"/>
        <n v="3035.92"/>
        <n v="4424.87"/>
        <n v="313.97"/>
        <n v="883.65"/>
        <n v="197.98"/>
        <n v="525.71"/>
        <n v="228.72"/>
        <n v="1257.08"/>
        <n v="560.78"/>
        <n v="332.07"/>
        <n v="707.78"/>
        <n v="2064.18"/>
      </sharedItems>
    </cacheField>
    <cacheField name="Payment Method" numFmtId="0">
      <sharedItems count="5">
        <s v="UPI"/>
        <s v="Cash"/>
        <s v="Net Banking"/>
        <s v="Credit Card"/>
        <s v="Debit Card"/>
      </sharedItems>
    </cacheField>
    <cacheField name="City" numFmtId="0">
      <sharedItems count="5">
        <s v="Mysuru"/>
        <s v="Ballari"/>
        <s v="Hyderabad"/>
        <s v="Chennai"/>
        <s v="Bengaluru"/>
      </sharedItems>
    </cacheField>
    <cacheField name="Recurring" numFmtId="0">
      <sharedItems count="2">
        <s v="Yes"/>
        <s v="No"/>
      </sharedItems>
    </cacheField>
    <cacheField name="Need/Want" numFmtId="0">
      <sharedItems count="2">
        <s v="Need"/>
        <s v="Want"/>
      </sharedItems>
    </cacheField>
    <cacheField name="MONTH" numFmtId="0">
      <sharedItems count="4">
        <s v="May"/>
        <s v="June"/>
        <s v="July"/>
        <s v="August"/>
      </sharedItems>
    </cacheField>
    <cacheField name="month Number" numFmtId="0">
      <sharedItems containsSemiMixedTypes="0" containsString="0" containsNumber="1" containsInteger="1" minValue="5" maxValue="8" count="4">
        <n v="5"/>
        <n v="6"/>
        <n v="7"/>
        <n v="8"/>
      </sharedItems>
    </cacheField>
    <cacheField name="Expense Level" numFmtId="0">
      <sharedItems count="3">
        <s v="low"/>
        <s v="medium"/>
        <s v="high"/>
      </sharedItems>
    </cacheField>
    <cacheField name="Day Type" numFmtId="0">
      <sharedItems count="2">
        <s v="weekday"/>
        <s v="weekend"/>
      </sharedItems>
    </cacheField>
    <cacheField name="Transaction Number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0"/>
    <x v="0"/>
    <x v="0"/>
    <x v="0"/>
    <x v="1"/>
  </r>
  <r>
    <x v="2"/>
    <x v="2"/>
    <x v="2"/>
    <x v="1"/>
    <x v="2"/>
    <x v="2"/>
    <x v="2"/>
    <x v="1"/>
    <x v="0"/>
    <x v="0"/>
    <x v="0"/>
    <x v="0"/>
    <x v="1"/>
    <x v="0"/>
    <x v="2"/>
  </r>
  <r>
    <x v="3"/>
    <x v="3"/>
    <x v="1"/>
    <x v="2"/>
    <x v="3"/>
    <x v="3"/>
    <x v="3"/>
    <x v="0"/>
    <x v="0"/>
    <x v="1"/>
    <x v="0"/>
    <x v="0"/>
    <x v="1"/>
    <x v="0"/>
    <x v="3"/>
  </r>
  <r>
    <x v="4"/>
    <x v="4"/>
    <x v="2"/>
    <x v="3"/>
    <x v="4"/>
    <x v="4"/>
    <x v="4"/>
    <x v="2"/>
    <x v="0"/>
    <x v="1"/>
    <x v="0"/>
    <x v="0"/>
    <x v="1"/>
    <x v="0"/>
    <x v="4"/>
  </r>
  <r>
    <x v="5"/>
    <x v="5"/>
    <x v="0"/>
    <x v="0"/>
    <x v="5"/>
    <x v="5"/>
    <x v="4"/>
    <x v="3"/>
    <x v="0"/>
    <x v="1"/>
    <x v="0"/>
    <x v="0"/>
    <x v="0"/>
    <x v="0"/>
    <x v="5"/>
  </r>
  <r>
    <x v="6"/>
    <x v="6"/>
    <x v="3"/>
    <x v="4"/>
    <x v="6"/>
    <x v="6"/>
    <x v="0"/>
    <x v="0"/>
    <x v="0"/>
    <x v="0"/>
    <x v="0"/>
    <x v="0"/>
    <x v="0"/>
    <x v="1"/>
    <x v="6"/>
  </r>
  <r>
    <x v="7"/>
    <x v="7"/>
    <x v="4"/>
    <x v="2"/>
    <x v="7"/>
    <x v="7"/>
    <x v="3"/>
    <x v="4"/>
    <x v="1"/>
    <x v="1"/>
    <x v="0"/>
    <x v="0"/>
    <x v="0"/>
    <x v="0"/>
    <x v="7"/>
  </r>
  <r>
    <x v="8"/>
    <x v="7"/>
    <x v="4"/>
    <x v="5"/>
    <x v="8"/>
    <x v="8"/>
    <x v="1"/>
    <x v="4"/>
    <x v="1"/>
    <x v="0"/>
    <x v="0"/>
    <x v="0"/>
    <x v="0"/>
    <x v="0"/>
    <x v="8"/>
  </r>
  <r>
    <x v="9"/>
    <x v="8"/>
    <x v="2"/>
    <x v="1"/>
    <x v="1"/>
    <x v="9"/>
    <x v="2"/>
    <x v="1"/>
    <x v="1"/>
    <x v="0"/>
    <x v="0"/>
    <x v="0"/>
    <x v="0"/>
    <x v="0"/>
    <x v="9"/>
  </r>
  <r>
    <x v="10"/>
    <x v="8"/>
    <x v="2"/>
    <x v="1"/>
    <x v="9"/>
    <x v="10"/>
    <x v="4"/>
    <x v="3"/>
    <x v="0"/>
    <x v="0"/>
    <x v="0"/>
    <x v="0"/>
    <x v="1"/>
    <x v="0"/>
    <x v="10"/>
  </r>
  <r>
    <x v="11"/>
    <x v="8"/>
    <x v="2"/>
    <x v="1"/>
    <x v="2"/>
    <x v="11"/>
    <x v="2"/>
    <x v="3"/>
    <x v="0"/>
    <x v="1"/>
    <x v="0"/>
    <x v="0"/>
    <x v="1"/>
    <x v="0"/>
    <x v="11"/>
  </r>
  <r>
    <x v="12"/>
    <x v="8"/>
    <x v="2"/>
    <x v="2"/>
    <x v="10"/>
    <x v="12"/>
    <x v="1"/>
    <x v="4"/>
    <x v="1"/>
    <x v="1"/>
    <x v="0"/>
    <x v="0"/>
    <x v="1"/>
    <x v="0"/>
    <x v="12"/>
  </r>
  <r>
    <x v="13"/>
    <x v="9"/>
    <x v="5"/>
    <x v="1"/>
    <x v="9"/>
    <x v="13"/>
    <x v="0"/>
    <x v="2"/>
    <x v="0"/>
    <x v="1"/>
    <x v="0"/>
    <x v="0"/>
    <x v="1"/>
    <x v="1"/>
    <x v="13"/>
  </r>
  <r>
    <x v="14"/>
    <x v="9"/>
    <x v="5"/>
    <x v="6"/>
    <x v="11"/>
    <x v="14"/>
    <x v="2"/>
    <x v="0"/>
    <x v="1"/>
    <x v="0"/>
    <x v="0"/>
    <x v="0"/>
    <x v="0"/>
    <x v="1"/>
    <x v="14"/>
  </r>
  <r>
    <x v="15"/>
    <x v="10"/>
    <x v="3"/>
    <x v="6"/>
    <x v="11"/>
    <x v="15"/>
    <x v="0"/>
    <x v="2"/>
    <x v="0"/>
    <x v="0"/>
    <x v="0"/>
    <x v="0"/>
    <x v="0"/>
    <x v="1"/>
    <x v="15"/>
  </r>
  <r>
    <x v="16"/>
    <x v="11"/>
    <x v="1"/>
    <x v="2"/>
    <x v="12"/>
    <x v="16"/>
    <x v="2"/>
    <x v="3"/>
    <x v="1"/>
    <x v="0"/>
    <x v="0"/>
    <x v="0"/>
    <x v="0"/>
    <x v="0"/>
    <x v="16"/>
  </r>
  <r>
    <x v="17"/>
    <x v="12"/>
    <x v="4"/>
    <x v="7"/>
    <x v="13"/>
    <x v="17"/>
    <x v="1"/>
    <x v="0"/>
    <x v="1"/>
    <x v="1"/>
    <x v="0"/>
    <x v="0"/>
    <x v="1"/>
    <x v="0"/>
    <x v="17"/>
  </r>
  <r>
    <x v="18"/>
    <x v="13"/>
    <x v="0"/>
    <x v="2"/>
    <x v="12"/>
    <x v="18"/>
    <x v="1"/>
    <x v="1"/>
    <x v="0"/>
    <x v="0"/>
    <x v="0"/>
    <x v="0"/>
    <x v="1"/>
    <x v="0"/>
    <x v="18"/>
  </r>
  <r>
    <x v="19"/>
    <x v="13"/>
    <x v="0"/>
    <x v="0"/>
    <x v="0"/>
    <x v="19"/>
    <x v="1"/>
    <x v="1"/>
    <x v="0"/>
    <x v="0"/>
    <x v="0"/>
    <x v="0"/>
    <x v="0"/>
    <x v="0"/>
    <x v="19"/>
  </r>
  <r>
    <x v="20"/>
    <x v="14"/>
    <x v="5"/>
    <x v="4"/>
    <x v="6"/>
    <x v="20"/>
    <x v="0"/>
    <x v="1"/>
    <x v="1"/>
    <x v="0"/>
    <x v="0"/>
    <x v="0"/>
    <x v="0"/>
    <x v="1"/>
    <x v="20"/>
  </r>
  <r>
    <x v="21"/>
    <x v="15"/>
    <x v="3"/>
    <x v="5"/>
    <x v="14"/>
    <x v="21"/>
    <x v="2"/>
    <x v="1"/>
    <x v="1"/>
    <x v="1"/>
    <x v="0"/>
    <x v="0"/>
    <x v="2"/>
    <x v="1"/>
    <x v="21"/>
  </r>
  <r>
    <x v="22"/>
    <x v="16"/>
    <x v="1"/>
    <x v="6"/>
    <x v="11"/>
    <x v="22"/>
    <x v="3"/>
    <x v="0"/>
    <x v="0"/>
    <x v="0"/>
    <x v="1"/>
    <x v="1"/>
    <x v="1"/>
    <x v="0"/>
    <x v="22"/>
  </r>
  <r>
    <x v="23"/>
    <x v="16"/>
    <x v="1"/>
    <x v="2"/>
    <x v="3"/>
    <x v="23"/>
    <x v="2"/>
    <x v="3"/>
    <x v="0"/>
    <x v="0"/>
    <x v="1"/>
    <x v="1"/>
    <x v="1"/>
    <x v="0"/>
    <x v="23"/>
  </r>
  <r>
    <x v="24"/>
    <x v="17"/>
    <x v="4"/>
    <x v="1"/>
    <x v="1"/>
    <x v="24"/>
    <x v="2"/>
    <x v="2"/>
    <x v="0"/>
    <x v="0"/>
    <x v="1"/>
    <x v="1"/>
    <x v="1"/>
    <x v="0"/>
    <x v="24"/>
  </r>
  <r>
    <x v="25"/>
    <x v="17"/>
    <x v="4"/>
    <x v="3"/>
    <x v="4"/>
    <x v="25"/>
    <x v="4"/>
    <x v="0"/>
    <x v="1"/>
    <x v="1"/>
    <x v="1"/>
    <x v="1"/>
    <x v="0"/>
    <x v="0"/>
    <x v="25"/>
  </r>
  <r>
    <x v="26"/>
    <x v="18"/>
    <x v="2"/>
    <x v="6"/>
    <x v="15"/>
    <x v="26"/>
    <x v="1"/>
    <x v="0"/>
    <x v="0"/>
    <x v="0"/>
    <x v="1"/>
    <x v="1"/>
    <x v="0"/>
    <x v="0"/>
    <x v="26"/>
  </r>
  <r>
    <x v="27"/>
    <x v="19"/>
    <x v="0"/>
    <x v="1"/>
    <x v="9"/>
    <x v="27"/>
    <x v="2"/>
    <x v="3"/>
    <x v="1"/>
    <x v="0"/>
    <x v="1"/>
    <x v="1"/>
    <x v="1"/>
    <x v="0"/>
    <x v="27"/>
  </r>
  <r>
    <x v="28"/>
    <x v="19"/>
    <x v="0"/>
    <x v="1"/>
    <x v="9"/>
    <x v="28"/>
    <x v="1"/>
    <x v="0"/>
    <x v="1"/>
    <x v="1"/>
    <x v="1"/>
    <x v="1"/>
    <x v="1"/>
    <x v="0"/>
    <x v="28"/>
  </r>
  <r>
    <x v="29"/>
    <x v="19"/>
    <x v="0"/>
    <x v="6"/>
    <x v="16"/>
    <x v="29"/>
    <x v="1"/>
    <x v="4"/>
    <x v="0"/>
    <x v="1"/>
    <x v="1"/>
    <x v="1"/>
    <x v="0"/>
    <x v="0"/>
    <x v="29"/>
  </r>
  <r>
    <x v="30"/>
    <x v="19"/>
    <x v="0"/>
    <x v="4"/>
    <x v="17"/>
    <x v="30"/>
    <x v="1"/>
    <x v="2"/>
    <x v="0"/>
    <x v="0"/>
    <x v="1"/>
    <x v="1"/>
    <x v="0"/>
    <x v="0"/>
    <x v="30"/>
  </r>
  <r>
    <x v="31"/>
    <x v="20"/>
    <x v="5"/>
    <x v="2"/>
    <x v="7"/>
    <x v="31"/>
    <x v="4"/>
    <x v="3"/>
    <x v="1"/>
    <x v="1"/>
    <x v="1"/>
    <x v="1"/>
    <x v="0"/>
    <x v="1"/>
    <x v="31"/>
  </r>
  <r>
    <x v="32"/>
    <x v="21"/>
    <x v="3"/>
    <x v="2"/>
    <x v="3"/>
    <x v="32"/>
    <x v="2"/>
    <x v="4"/>
    <x v="1"/>
    <x v="0"/>
    <x v="1"/>
    <x v="1"/>
    <x v="1"/>
    <x v="1"/>
    <x v="32"/>
  </r>
  <r>
    <x v="33"/>
    <x v="21"/>
    <x v="3"/>
    <x v="2"/>
    <x v="12"/>
    <x v="33"/>
    <x v="4"/>
    <x v="3"/>
    <x v="1"/>
    <x v="1"/>
    <x v="1"/>
    <x v="1"/>
    <x v="1"/>
    <x v="1"/>
    <x v="33"/>
  </r>
  <r>
    <x v="34"/>
    <x v="22"/>
    <x v="2"/>
    <x v="3"/>
    <x v="18"/>
    <x v="34"/>
    <x v="1"/>
    <x v="1"/>
    <x v="1"/>
    <x v="1"/>
    <x v="1"/>
    <x v="1"/>
    <x v="0"/>
    <x v="0"/>
    <x v="34"/>
  </r>
  <r>
    <x v="35"/>
    <x v="23"/>
    <x v="5"/>
    <x v="3"/>
    <x v="18"/>
    <x v="35"/>
    <x v="3"/>
    <x v="1"/>
    <x v="0"/>
    <x v="1"/>
    <x v="1"/>
    <x v="1"/>
    <x v="0"/>
    <x v="1"/>
    <x v="35"/>
  </r>
  <r>
    <x v="36"/>
    <x v="24"/>
    <x v="3"/>
    <x v="3"/>
    <x v="18"/>
    <x v="36"/>
    <x v="2"/>
    <x v="0"/>
    <x v="0"/>
    <x v="1"/>
    <x v="1"/>
    <x v="1"/>
    <x v="1"/>
    <x v="1"/>
    <x v="36"/>
  </r>
  <r>
    <x v="37"/>
    <x v="25"/>
    <x v="1"/>
    <x v="2"/>
    <x v="7"/>
    <x v="37"/>
    <x v="0"/>
    <x v="3"/>
    <x v="0"/>
    <x v="0"/>
    <x v="1"/>
    <x v="1"/>
    <x v="1"/>
    <x v="0"/>
    <x v="37"/>
  </r>
  <r>
    <x v="38"/>
    <x v="26"/>
    <x v="0"/>
    <x v="4"/>
    <x v="19"/>
    <x v="38"/>
    <x v="4"/>
    <x v="0"/>
    <x v="1"/>
    <x v="1"/>
    <x v="1"/>
    <x v="1"/>
    <x v="0"/>
    <x v="0"/>
    <x v="38"/>
  </r>
  <r>
    <x v="39"/>
    <x v="27"/>
    <x v="3"/>
    <x v="7"/>
    <x v="20"/>
    <x v="39"/>
    <x v="4"/>
    <x v="0"/>
    <x v="1"/>
    <x v="1"/>
    <x v="1"/>
    <x v="1"/>
    <x v="2"/>
    <x v="1"/>
    <x v="39"/>
  </r>
  <r>
    <x v="40"/>
    <x v="27"/>
    <x v="3"/>
    <x v="2"/>
    <x v="10"/>
    <x v="40"/>
    <x v="0"/>
    <x v="4"/>
    <x v="1"/>
    <x v="0"/>
    <x v="1"/>
    <x v="1"/>
    <x v="1"/>
    <x v="1"/>
    <x v="40"/>
  </r>
  <r>
    <x v="41"/>
    <x v="28"/>
    <x v="1"/>
    <x v="1"/>
    <x v="2"/>
    <x v="41"/>
    <x v="0"/>
    <x v="4"/>
    <x v="1"/>
    <x v="1"/>
    <x v="1"/>
    <x v="1"/>
    <x v="0"/>
    <x v="0"/>
    <x v="41"/>
  </r>
  <r>
    <x v="42"/>
    <x v="29"/>
    <x v="6"/>
    <x v="3"/>
    <x v="4"/>
    <x v="42"/>
    <x v="3"/>
    <x v="4"/>
    <x v="0"/>
    <x v="1"/>
    <x v="1"/>
    <x v="1"/>
    <x v="1"/>
    <x v="0"/>
    <x v="42"/>
  </r>
  <r>
    <x v="43"/>
    <x v="30"/>
    <x v="2"/>
    <x v="0"/>
    <x v="21"/>
    <x v="43"/>
    <x v="0"/>
    <x v="0"/>
    <x v="1"/>
    <x v="1"/>
    <x v="1"/>
    <x v="1"/>
    <x v="0"/>
    <x v="0"/>
    <x v="43"/>
  </r>
  <r>
    <x v="44"/>
    <x v="30"/>
    <x v="2"/>
    <x v="7"/>
    <x v="22"/>
    <x v="44"/>
    <x v="1"/>
    <x v="3"/>
    <x v="1"/>
    <x v="0"/>
    <x v="1"/>
    <x v="1"/>
    <x v="1"/>
    <x v="0"/>
    <x v="44"/>
  </r>
  <r>
    <x v="45"/>
    <x v="31"/>
    <x v="6"/>
    <x v="0"/>
    <x v="23"/>
    <x v="45"/>
    <x v="2"/>
    <x v="1"/>
    <x v="1"/>
    <x v="1"/>
    <x v="1"/>
    <x v="1"/>
    <x v="0"/>
    <x v="0"/>
    <x v="45"/>
  </r>
  <r>
    <x v="46"/>
    <x v="32"/>
    <x v="4"/>
    <x v="2"/>
    <x v="12"/>
    <x v="46"/>
    <x v="1"/>
    <x v="2"/>
    <x v="0"/>
    <x v="1"/>
    <x v="2"/>
    <x v="2"/>
    <x v="1"/>
    <x v="0"/>
    <x v="46"/>
  </r>
  <r>
    <x v="47"/>
    <x v="33"/>
    <x v="2"/>
    <x v="4"/>
    <x v="17"/>
    <x v="47"/>
    <x v="4"/>
    <x v="1"/>
    <x v="0"/>
    <x v="0"/>
    <x v="2"/>
    <x v="2"/>
    <x v="0"/>
    <x v="0"/>
    <x v="47"/>
  </r>
  <r>
    <x v="48"/>
    <x v="33"/>
    <x v="2"/>
    <x v="2"/>
    <x v="12"/>
    <x v="48"/>
    <x v="3"/>
    <x v="2"/>
    <x v="0"/>
    <x v="0"/>
    <x v="2"/>
    <x v="2"/>
    <x v="1"/>
    <x v="0"/>
    <x v="48"/>
  </r>
  <r>
    <x v="49"/>
    <x v="34"/>
    <x v="5"/>
    <x v="4"/>
    <x v="24"/>
    <x v="49"/>
    <x v="2"/>
    <x v="2"/>
    <x v="0"/>
    <x v="1"/>
    <x v="2"/>
    <x v="2"/>
    <x v="0"/>
    <x v="1"/>
    <x v="49"/>
  </r>
  <r>
    <x v="50"/>
    <x v="34"/>
    <x v="5"/>
    <x v="6"/>
    <x v="25"/>
    <x v="50"/>
    <x v="0"/>
    <x v="1"/>
    <x v="1"/>
    <x v="1"/>
    <x v="2"/>
    <x v="2"/>
    <x v="1"/>
    <x v="1"/>
    <x v="50"/>
  </r>
  <r>
    <x v="51"/>
    <x v="35"/>
    <x v="3"/>
    <x v="1"/>
    <x v="9"/>
    <x v="51"/>
    <x v="0"/>
    <x v="1"/>
    <x v="0"/>
    <x v="1"/>
    <x v="2"/>
    <x v="2"/>
    <x v="1"/>
    <x v="1"/>
    <x v="51"/>
  </r>
  <r>
    <x v="52"/>
    <x v="36"/>
    <x v="4"/>
    <x v="2"/>
    <x v="12"/>
    <x v="52"/>
    <x v="3"/>
    <x v="2"/>
    <x v="0"/>
    <x v="1"/>
    <x v="2"/>
    <x v="2"/>
    <x v="0"/>
    <x v="0"/>
    <x v="52"/>
  </r>
  <r>
    <x v="53"/>
    <x v="37"/>
    <x v="0"/>
    <x v="6"/>
    <x v="15"/>
    <x v="53"/>
    <x v="0"/>
    <x v="4"/>
    <x v="0"/>
    <x v="1"/>
    <x v="2"/>
    <x v="2"/>
    <x v="0"/>
    <x v="0"/>
    <x v="53"/>
  </r>
  <r>
    <x v="54"/>
    <x v="37"/>
    <x v="0"/>
    <x v="7"/>
    <x v="22"/>
    <x v="54"/>
    <x v="2"/>
    <x v="0"/>
    <x v="1"/>
    <x v="1"/>
    <x v="2"/>
    <x v="2"/>
    <x v="2"/>
    <x v="0"/>
    <x v="54"/>
  </r>
  <r>
    <x v="55"/>
    <x v="38"/>
    <x v="3"/>
    <x v="4"/>
    <x v="17"/>
    <x v="55"/>
    <x v="1"/>
    <x v="1"/>
    <x v="1"/>
    <x v="0"/>
    <x v="2"/>
    <x v="2"/>
    <x v="0"/>
    <x v="1"/>
    <x v="55"/>
  </r>
  <r>
    <x v="56"/>
    <x v="39"/>
    <x v="1"/>
    <x v="6"/>
    <x v="11"/>
    <x v="56"/>
    <x v="4"/>
    <x v="1"/>
    <x v="0"/>
    <x v="1"/>
    <x v="2"/>
    <x v="2"/>
    <x v="0"/>
    <x v="0"/>
    <x v="56"/>
  </r>
  <r>
    <x v="57"/>
    <x v="40"/>
    <x v="6"/>
    <x v="4"/>
    <x v="17"/>
    <x v="57"/>
    <x v="2"/>
    <x v="3"/>
    <x v="1"/>
    <x v="1"/>
    <x v="2"/>
    <x v="2"/>
    <x v="0"/>
    <x v="0"/>
    <x v="57"/>
  </r>
  <r>
    <x v="58"/>
    <x v="40"/>
    <x v="6"/>
    <x v="4"/>
    <x v="6"/>
    <x v="58"/>
    <x v="3"/>
    <x v="2"/>
    <x v="0"/>
    <x v="0"/>
    <x v="2"/>
    <x v="2"/>
    <x v="0"/>
    <x v="0"/>
    <x v="58"/>
  </r>
  <r>
    <x v="59"/>
    <x v="41"/>
    <x v="4"/>
    <x v="6"/>
    <x v="16"/>
    <x v="59"/>
    <x v="1"/>
    <x v="2"/>
    <x v="1"/>
    <x v="1"/>
    <x v="2"/>
    <x v="2"/>
    <x v="1"/>
    <x v="0"/>
    <x v="59"/>
  </r>
  <r>
    <x v="60"/>
    <x v="41"/>
    <x v="4"/>
    <x v="4"/>
    <x v="17"/>
    <x v="60"/>
    <x v="1"/>
    <x v="2"/>
    <x v="0"/>
    <x v="0"/>
    <x v="2"/>
    <x v="2"/>
    <x v="0"/>
    <x v="0"/>
    <x v="60"/>
  </r>
  <r>
    <x v="61"/>
    <x v="41"/>
    <x v="4"/>
    <x v="2"/>
    <x v="3"/>
    <x v="61"/>
    <x v="4"/>
    <x v="3"/>
    <x v="0"/>
    <x v="0"/>
    <x v="2"/>
    <x v="2"/>
    <x v="1"/>
    <x v="0"/>
    <x v="61"/>
  </r>
  <r>
    <x v="62"/>
    <x v="42"/>
    <x v="2"/>
    <x v="0"/>
    <x v="23"/>
    <x v="62"/>
    <x v="3"/>
    <x v="3"/>
    <x v="1"/>
    <x v="0"/>
    <x v="2"/>
    <x v="2"/>
    <x v="0"/>
    <x v="0"/>
    <x v="62"/>
  </r>
  <r>
    <x v="63"/>
    <x v="43"/>
    <x v="0"/>
    <x v="6"/>
    <x v="16"/>
    <x v="63"/>
    <x v="2"/>
    <x v="4"/>
    <x v="1"/>
    <x v="0"/>
    <x v="2"/>
    <x v="2"/>
    <x v="1"/>
    <x v="0"/>
    <x v="63"/>
  </r>
  <r>
    <x v="64"/>
    <x v="44"/>
    <x v="6"/>
    <x v="0"/>
    <x v="0"/>
    <x v="64"/>
    <x v="1"/>
    <x v="1"/>
    <x v="0"/>
    <x v="0"/>
    <x v="2"/>
    <x v="2"/>
    <x v="0"/>
    <x v="0"/>
    <x v="64"/>
  </r>
  <r>
    <x v="65"/>
    <x v="45"/>
    <x v="2"/>
    <x v="1"/>
    <x v="1"/>
    <x v="65"/>
    <x v="3"/>
    <x v="1"/>
    <x v="1"/>
    <x v="0"/>
    <x v="2"/>
    <x v="2"/>
    <x v="1"/>
    <x v="0"/>
    <x v="65"/>
  </r>
  <r>
    <x v="66"/>
    <x v="45"/>
    <x v="2"/>
    <x v="4"/>
    <x v="17"/>
    <x v="66"/>
    <x v="1"/>
    <x v="1"/>
    <x v="1"/>
    <x v="1"/>
    <x v="2"/>
    <x v="2"/>
    <x v="0"/>
    <x v="0"/>
    <x v="66"/>
  </r>
  <r>
    <x v="67"/>
    <x v="46"/>
    <x v="0"/>
    <x v="1"/>
    <x v="2"/>
    <x v="67"/>
    <x v="2"/>
    <x v="3"/>
    <x v="1"/>
    <x v="0"/>
    <x v="2"/>
    <x v="2"/>
    <x v="0"/>
    <x v="0"/>
    <x v="67"/>
  </r>
  <r>
    <x v="68"/>
    <x v="46"/>
    <x v="0"/>
    <x v="0"/>
    <x v="21"/>
    <x v="68"/>
    <x v="2"/>
    <x v="0"/>
    <x v="0"/>
    <x v="0"/>
    <x v="2"/>
    <x v="2"/>
    <x v="0"/>
    <x v="0"/>
    <x v="68"/>
  </r>
  <r>
    <x v="69"/>
    <x v="47"/>
    <x v="5"/>
    <x v="0"/>
    <x v="21"/>
    <x v="69"/>
    <x v="3"/>
    <x v="3"/>
    <x v="0"/>
    <x v="0"/>
    <x v="2"/>
    <x v="2"/>
    <x v="0"/>
    <x v="1"/>
    <x v="69"/>
  </r>
  <r>
    <x v="70"/>
    <x v="47"/>
    <x v="5"/>
    <x v="7"/>
    <x v="22"/>
    <x v="70"/>
    <x v="2"/>
    <x v="2"/>
    <x v="1"/>
    <x v="0"/>
    <x v="2"/>
    <x v="2"/>
    <x v="2"/>
    <x v="1"/>
    <x v="70"/>
  </r>
  <r>
    <x v="71"/>
    <x v="48"/>
    <x v="3"/>
    <x v="0"/>
    <x v="26"/>
    <x v="71"/>
    <x v="0"/>
    <x v="4"/>
    <x v="0"/>
    <x v="0"/>
    <x v="2"/>
    <x v="2"/>
    <x v="0"/>
    <x v="1"/>
    <x v="71"/>
  </r>
  <r>
    <x v="72"/>
    <x v="48"/>
    <x v="3"/>
    <x v="5"/>
    <x v="8"/>
    <x v="72"/>
    <x v="0"/>
    <x v="0"/>
    <x v="1"/>
    <x v="0"/>
    <x v="2"/>
    <x v="2"/>
    <x v="1"/>
    <x v="1"/>
    <x v="72"/>
  </r>
  <r>
    <x v="73"/>
    <x v="48"/>
    <x v="3"/>
    <x v="6"/>
    <x v="25"/>
    <x v="73"/>
    <x v="1"/>
    <x v="4"/>
    <x v="0"/>
    <x v="0"/>
    <x v="2"/>
    <x v="2"/>
    <x v="1"/>
    <x v="1"/>
    <x v="73"/>
  </r>
  <r>
    <x v="74"/>
    <x v="49"/>
    <x v="1"/>
    <x v="0"/>
    <x v="26"/>
    <x v="74"/>
    <x v="4"/>
    <x v="4"/>
    <x v="1"/>
    <x v="1"/>
    <x v="2"/>
    <x v="2"/>
    <x v="0"/>
    <x v="0"/>
    <x v="74"/>
  </r>
  <r>
    <x v="75"/>
    <x v="49"/>
    <x v="1"/>
    <x v="2"/>
    <x v="7"/>
    <x v="75"/>
    <x v="2"/>
    <x v="1"/>
    <x v="1"/>
    <x v="0"/>
    <x v="2"/>
    <x v="2"/>
    <x v="1"/>
    <x v="0"/>
    <x v="75"/>
  </r>
  <r>
    <x v="76"/>
    <x v="50"/>
    <x v="6"/>
    <x v="1"/>
    <x v="1"/>
    <x v="76"/>
    <x v="4"/>
    <x v="0"/>
    <x v="1"/>
    <x v="0"/>
    <x v="2"/>
    <x v="2"/>
    <x v="0"/>
    <x v="0"/>
    <x v="76"/>
  </r>
  <r>
    <x v="77"/>
    <x v="51"/>
    <x v="6"/>
    <x v="1"/>
    <x v="1"/>
    <x v="77"/>
    <x v="1"/>
    <x v="0"/>
    <x v="1"/>
    <x v="0"/>
    <x v="3"/>
    <x v="3"/>
    <x v="0"/>
    <x v="0"/>
    <x v="77"/>
  </r>
  <r>
    <x v="78"/>
    <x v="52"/>
    <x v="4"/>
    <x v="3"/>
    <x v="4"/>
    <x v="78"/>
    <x v="3"/>
    <x v="4"/>
    <x v="0"/>
    <x v="1"/>
    <x v="3"/>
    <x v="3"/>
    <x v="1"/>
    <x v="0"/>
    <x v="78"/>
  </r>
  <r>
    <x v="79"/>
    <x v="53"/>
    <x v="0"/>
    <x v="5"/>
    <x v="8"/>
    <x v="79"/>
    <x v="3"/>
    <x v="3"/>
    <x v="1"/>
    <x v="0"/>
    <x v="3"/>
    <x v="3"/>
    <x v="0"/>
    <x v="0"/>
    <x v="79"/>
  </r>
  <r>
    <x v="80"/>
    <x v="53"/>
    <x v="0"/>
    <x v="7"/>
    <x v="13"/>
    <x v="80"/>
    <x v="0"/>
    <x v="1"/>
    <x v="1"/>
    <x v="0"/>
    <x v="3"/>
    <x v="3"/>
    <x v="2"/>
    <x v="0"/>
    <x v="80"/>
  </r>
  <r>
    <x v="81"/>
    <x v="54"/>
    <x v="5"/>
    <x v="3"/>
    <x v="4"/>
    <x v="81"/>
    <x v="4"/>
    <x v="3"/>
    <x v="1"/>
    <x v="1"/>
    <x v="3"/>
    <x v="3"/>
    <x v="1"/>
    <x v="1"/>
    <x v="81"/>
  </r>
  <r>
    <x v="82"/>
    <x v="55"/>
    <x v="3"/>
    <x v="1"/>
    <x v="1"/>
    <x v="82"/>
    <x v="0"/>
    <x v="2"/>
    <x v="1"/>
    <x v="1"/>
    <x v="3"/>
    <x v="3"/>
    <x v="0"/>
    <x v="1"/>
    <x v="82"/>
  </r>
  <r>
    <x v="83"/>
    <x v="56"/>
    <x v="6"/>
    <x v="0"/>
    <x v="5"/>
    <x v="83"/>
    <x v="2"/>
    <x v="2"/>
    <x v="0"/>
    <x v="1"/>
    <x v="3"/>
    <x v="3"/>
    <x v="0"/>
    <x v="0"/>
    <x v="83"/>
  </r>
  <r>
    <x v="84"/>
    <x v="56"/>
    <x v="6"/>
    <x v="2"/>
    <x v="7"/>
    <x v="84"/>
    <x v="0"/>
    <x v="2"/>
    <x v="0"/>
    <x v="1"/>
    <x v="3"/>
    <x v="3"/>
    <x v="0"/>
    <x v="0"/>
    <x v="84"/>
  </r>
  <r>
    <x v="85"/>
    <x v="57"/>
    <x v="0"/>
    <x v="1"/>
    <x v="9"/>
    <x v="85"/>
    <x v="4"/>
    <x v="2"/>
    <x v="0"/>
    <x v="1"/>
    <x v="3"/>
    <x v="3"/>
    <x v="1"/>
    <x v="0"/>
    <x v="85"/>
  </r>
  <r>
    <x v="86"/>
    <x v="58"/>
    <x v="5"/>
    <x v="0"/>
    <x v="21"/>
    <x v="86"/>
    <x v="1"/>
    <x v="2"/>
    <x v="1"/>
    <x v="1"/>
    <x v="3"/>
    <x v="3"/>
    <x v="1"/>
    <x v="1"/>
    <x v="86"/>
  </r>
  <r>
    <x v="87"/>
    <x v="58"/>
    <x v="5"/>
    <x v="2"/>
    <x v="7"/>
    <x v="87"/>
    <x v="1"/>
    <x v="0"/>
    <x v="0"/>
    <x v="0"/>
    <x v="3"/>
    <x v="3"/>
    <x v="0"/>
    <x v="1"/>
    <x v="87"/>
  </r>
  <r>
    <x v="88"/>
    <x v="59"/>
    <x v="1"/>
    <x v="5"/>
    <x v="27"/>
    <x v="88"/>
    <x v="1"/>
    <x v="2"/>
    <x v="0"/>
    <x v="0"/>
    <x v="3"/>
    <x v="3"/>
    <x v="2"/>
    <x v="0"/>
    <x v="88"/>
  </r>
  <r>
    <x v="89"/>
    <x v="60"/>
    <x v="4"/>
    <x v="5"/>
    <x v="28"/>
    <x v="89"/>
    <x v="0"/>
    <x v="1"/>
    <x v="1"/>
    <x v="1"/>
    <x v="3"/>
    <x v="3"/>
    <x v="2"/>
    <x v="0"/>
    <x v="89"/>
  </r>
  <r>
    <x v="90"/>
    <x v="61"/>
    <x v="2"/>
    <x v="6"/>
    <x v="25"/>
    <x v="90"/>
    <x v="1"/>
    <x v="3"/>
    <x v="0"/>
    <x v="1"/>
    <x v="3"/>
    <x v="3"/>
    <x v="0"/>
    <x v="0"/>
    <x v="90"/>
  </r>
  <r>
    <x v="91"/>
    <x v="62"/>
    <x v="0"/>
    <x v="0"/>
    <x v="0"/>
    <x v="91"/>
    <x v="0"/>
    <x v="3"/>
    <x v="0"/>
    <x v="0"/>
    <x v="3"/>
    <x v="3"/>
    <x v="0"/>
    <x v="0"/>
    <x v="91"/>
  </r>
  <r>
    <x v="92"/>
    <x v="63"/>
    <x v="3"/>
    <x v="0"/>
    <x v="5"/>
    <x v="92"/>
    <x v="3"/>
    <x v="1"/>
    <x v="0"/>
    <x v="0"/>
    <x v="3"/>
    <x v="3"/>
    <x v="0"/>
    <x v="1"/>
    <x v="92"/>
  </r>
  <r>
    <x v="93"/>
    <x v="64"/>
    <x v="1"/>
    <x v="4"/>
    <x v="17"/>
    <x v="93"/>
    <x v="4"/>
    <x v="4"/>
    <x v="0"/>
    <x v="1"/>
    <x v="3"/>
    <x v="3"/>
    <x v="0"/>
    <x v="0"/>
    <x v="93"/>
  </r>
  <r>
    <x v="94"/>
    <x v="64"/>
    <x v="1"/>
    <x v="2"/>
    <x v="7"/>
    <x v="94"/>
    <x v="3"/>
    <x v="4"/>
    <x v="0"/>
    <x v="1"/>
    <x v="3"/>
    <x v="3"/>
    <x v="0"/>
    <x v="0"/>
    <x v="94"/>
  </r>
  <r>
    <x v="95"/>
    <x v="65"/>
    <x v="2"/>
    <x v="2"/>
    <x v="7"/>
    <x v="95"/>
    <x v="4"/>
    <x v="2"/>
    <x v="1"/>
    <x v="0"/>
    <x v="3"/>
    <x v="3"/>
    <x v="1"/>
    <x v="0"/>
    <x v="95"/>
  </r>
  <r>
    <x v="96"/>
    <x v="65"/>
    <x v="2"/>
    <x v="0"/>
    <x v="0"/>
    <x v="96"/>
    <x v="2"/>
    <x v="4"/>
    <x v="0"/>
    <x v="0"/>
    <x v="3"/>
    <x v="3"/>
    <x v="0"/>
    <x v="0"/>
    <x v="96"/>
  </r>
  <r>
    <x v="97"/>
    <x v="66"/>
    <x v="0"/>
    <x v="0"/>
    <x v="5"/>
    <x v="97"/>
    <x v="0"/>
    <x v="3"/>
    <x v="0"/>
    <x v="1"/>
    <x v="3"/>
    <x v="3"/>
    <x v="0"/>
    <x v="0"/>
    <x v="97"/>
  </r>
  <r>
    <x v="98"/>
    <x v="67"/>
    <x v="5"/>
    <x v="4"/>
    <x v="17"/>
    <x v="98"/>
    <x v="4"/>
    <x v="1"/>
    <x v="1"/>
    <x v="0"/>
    <x v="3"/>
    <x v="3"/>
    <x v="0"/>
    <x v="1"/>
    <x v="98"/>
  </r>
  <r>
    <x v="99"/>
    <x v="67"/>
    <x v="5"/>
    <x v="1"/>
    <x v="9"/>
    <x v="99"/>
    <x v="3"/>
    <x v="2"/>
    <x v="0"/>
    <x v="0"/>
    <x v="3"/>
    <x v="3"/>
    <x v="1"/>
    <x v="1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2" firstHeaderRow="1" firstDataRow="1" firstDataCol="1"/>
  <pivotFields count="15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81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compact="0" showAll="0">
      <items count="8">
        <item x="3"/>
        <item x="1"/>
        <item x="6"/>
        <item x="4"/>
        <item x="2"/>
        <item x="0"/>
        <item x="5"/>
        <item t="default"/>
      </items>
    </pivotField>
    <pivotField axis="axisRow" compact="0" showAll="0">
      <items count="9">
        <item x="2"/>
        <item x="7"/>
        <item x="6"/>
        <item x="4"/>
        <item x="3"/>
        <item x="1"/>
        <item x="5"/>
        <item x="0"/>
        <item t="default"/>
      </items>
    </pivotField>
    <pivotField compact="0" showAll="0">
      <items count="30">
        <item x="21"/>
        <item x="13"/>
        <item x="17"/>
        <item x="0"/>
        <item x="23"/>
        <item x="15"/>
        <item x="27"/>
        <item x="6"/>
        <item x="4"/>
        <item x="2"/>
        <item x="10"/>
        <item x="14"/>
        <item x="26"/>
        <item x="11"/>
        <item x="9"/>
        <item x="28"/>
        <item x="18"/>
        <item x="7"/>
        <item x="24"/>
        <item x="5"/>
        <item x="1"/>
        <item x="3"/>
        <item x="16"/>
        <item x="22"/>
        <item x="25"/>
        <item x="8"/>
        <item x="19"/>
        <item x="20"/>
        <item x="12"/>
        <item t="default"/>
      </items>
    </pivotField>
    <pivotField dataField="1" compact="0" numFmtId="182" showAll="0">
      <items count="101">
        <item x="76"/>
        <item x="41"/>
        <item x="92"/>
        <item x="94"/>
        <item x="83"/>
        <item x="0"/>
        <item x="90"/>
        <item x="6"/>
        <item x="97"/>
        <item x="20"/>
        <item x="57"/>
        <item x="7"/>
        <item x="38"/>
        <item x="26"/>
        <item x="15"/>
        <item x="67"/>
        <item x="30"/>
        <item x="62"/>
        <item x="58"/>
        <item x="1"/>
        <item x="45"/>
        <item x="82"/>
        <item x="71"/>
        <item x="93"/>
        <item x="60"/>
        <item x="96"/>
        <item x="84"/>
        <item x="8"/>
        <item x="35"/>
        <item x="49"/>
        <item x="68"/>
        <item x="5"/>
        <item x="77"/>
        <item x="31"/>
        <item x="98"/>
        <item x="9"/>
        <item x="25"/>
        <item x="52"/>
        <item x="66"/>
        <item x="47"/>
        <item x="14"/>
        <item x="43"/>
        <item x="87"/>
        <item x="55"/>
        <item x="56"/>
        <item x="29"/>
        <item x="91"/>
        <item x="64"/>
        <item x="16"/>
        <item x="74"/>
        <item x="53"/>
        <item x="19"/>
        <item x="79"/>
        <item x="69"/>
        <item x="34"/>
        <item x="86"/>
        <item x="23"/>
        <item x="24"/>
        <item x="85"/>
        <item x="18"/>
        <item x="63"/>
        <item x="59"/>
        <item x="36"/>
        <item x="3"/>
        <item x="73"/>
        <item x="95"/>
        <item x="22"/>
        <item x="27"/>
        <item x="50"/>
        <item x="13"/>
        <item x="17"/>
        <item x="42"/>
        <item x="12"/>
        <item x="11"/>
        <item x="32"/>
        <item x="28"/>
        <item x="51"/>
        <item x="48"/>
        <item x="40"/>
        <item x="99"/>
        <item x="33"/>
        <item x="72"/>
        <item x="61"/>
        <item x="37"/>
        <item x="4"/>
        <item x="65"/>
        <item x="2"/>
        <item x="44"/>
        <item x="75"/>
        <item x="10"/>
        <item x="78"/>
        <item x="46"/>
        <item x="81"/>
        <item x="88"/>
        <item x="80"/>
        <item x="70"/>
        <item x="21"/>
        <item x="39"/>
        <item x="89"/>
        <item x="54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 (IN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3:G9" firstHeaderRow="1" firstDataRow="1" firstDataCol="1"/>
  <pivotFields count="15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81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compact="0" showAll="0">
      <items count="8">
        <item x="3"/>
        <item x="1"/>
        <item x="6"/>
        <item x="4"/>
        <item x="2"/>
        <item x="0"/>
        <item x="5"/>
        <item t="default"/>
      </items>
    </pivotField>
    <pivotField compact="0" showAll="0">
      <items count="9">
        <item x="2"/>
        <item x="7"/>
        <item x="6"/>
        <item x="4"/>
        <item x="3"/>
        <item x="1"/>
        <item x="5"/>
        <item x="0"/>
        <item t="default"/>
      </items>
    </pivotField>
    <pivotField compact="0" showAll="0">
      <items count="30">
        <item x="21"/>
        <item x="13"/>
        <item x="17"/>
        <item x="0"/>
        <item x="23"/>
        <item x="15"/>
        <item x="27"/>
        <item x="6"/>
        <item x="4"/>
        <item x="2"/>
        <item x="10"/>
        <item x="14"/>
        <item x="26"/>
        <item x="11"/>
        <item x="9"/>
        <item x="28"/>
        <item x="18"/>
        <item x="7"/>
        <item x="24"/>
        <item x="5"/>
        <item x="1"/>
        <item x="3"/>
        <item x="16"/>
        <item x="22"/>
        <item x="25"/>
        <item x="8"/>
        <item x="19"/>
        <item x="20"/>
        <item x="12"/>
        <item t="default"/>
      </items>
    </pivotField>
    <pivotField dataField="1" compact="0" numFmtId="182" showAll="0">
      <items count="101">
        <item x="76"/>
        <item x="41"/>
        <item x="92"/>
        <item x="94"/>
        <item x="83"/>
        <item x="0"/>
        <item x="90"/>
        <item x="6"/>
        <item x="97"/>
        <item x="20"/>
        <item x="57"/>
        <item x="7"/>
        <item x="38"/>
        <item x="26"/>
        <item x="15"/>
        <item x="67"/>
        <item x="30"/>
        <item x="62"/>
        <item x="58"/>
        <item x="1"/>
        <item x="45"/>
        <item x="82"/>
        <item x="71"/>
        <item x="93"/>
        <item x="60"/>
        <item x="96"/>
        <item x="84"/>
        <item x="8"/>
        <item x="35"/>
        <item x="49"/>
        <item x="68"/>
        <item x="5"/>
        <item x="77"/>
        <item x="31"/>
        <item x="98"/>
        <item x="9"/>
        <item x="25"/>
        <item x="52"/>
        <item x="66"/>
        <item x="47"/>
        <item x="14"/>
        <item x="43"/>
        <item x="87"/>
        <item x="55"/>
        <item x="56"/>
        <item x="29"/>
        <item x="91"/>
        <item x="64"/>
        <item x="16"/>
        <item x="74"/>
        <item x="53"/>
        <item x="19"/>
        <item x="79"/>
        <item x="69"/>
        <item x="34"/>
        <item x="86"/>
        <item x="23"/>
        <item x="24"/>
        <item x="85"/>
        <item x="18"/>
        <item x="63"/>
        <item x="59"/>
        <item x="36"/>
        <item x="3"/>
        <item x="73"/>
        <item x="95"/>
        <item x="22"/>
        <item x="27"/>
        <item x="50"/>
        <item x="13"/>
        <item x="17"/>
        <item x="42"/>
        <item x="12"/>
        <item x="11"/>
        <item x="32"/>
        <item x="28"/>
        <item x="51"/>
        <item x="48"/>
        <item x="40"/>
        <item x="99"/>
        <item x="33"/>
        <item x="72"/>
        <item x="61"/>
        <item x="37"/>
        <item x="4"/>
        <item x="65"/>
        <item x="2"/>
        <item x="44"/>
        <item x="75"/>
        <item x="10"/>
        <item x="78"/>
        <item x="46"/>
        <item x="81"/>
        <item x="88"/>
        <item x="80"/>
        <item x="70"/>
        <item x="21"/>
        <item x="39"/>
        <item x="89"/>
        <item x="54"/>
        <item t="default"/>
      </items>
    </pivotField>
    <pivotField axis="axisRow"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 (IN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3:K9" firstHeaderRow="1" firstDataRow="1" firstDataCol="1"/>
  <pivotFields count="15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81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compact="0" showAll="0">
      <items count="8">
        <item x="3"/>
        <item x="1"/>
        <item x="6"/>
        <item x="4"/>
        <item x="2"/>
        <item x="0"/>
        <item x="5"/>
        <item t="default"/>
      </items>
    </pivotField>
    <pivotField compact="0" showAll="0">
      <items count="9">
        <item x="2"/>
        <item x="7"/>
        <item x="6"/>
        <item x="4"/>
        <item x="3"/>
        <item x="1"/>
        <item x="5"/>
        <item x="0"/>
        <item t="default"/>
      </items>
    </pivotField>
    <pivotField compact="0" showAll="0">
      <items count="30">
        <item x="21"/>
        <item x="13"/>
        <item x="17"/>
        <item x="0"/>
        <item x="23"/>
        <item x="15"/>
        <item x="27"/>
        <item x="6"/>
        <item x="4"/>
        <item x="2"/>
        <item x="10"/>
        <item x="14"/>
        <item x="26"/>
        <item x="11"/>
        <item x="9"/>
        <item x="28"/>
        <item x="18"/>
        <item x="7"/>
        <item x="24"/>
        <item x="5"/>
        <item x="1"/>
        <item x="3"/>
        <item x="16"/>
        <item x="22"/>
        <item x="25"/>
        <item x="8"/>
        <item x="19"/>
        <item x="20"/>
        <item x="12"/>
        <item t="default"/>
      </items>
    </pivotField>
    <pivotField dataField="1" compact="0" numFmtId="182" showAll="0">
      <items count="101">
        <item x="76"/>
        <item x="41"/>
        <item x="92"/>
        <item x="94"/>
        <item x="83"/>
        <item x="0"/>
        <item x="90"/>
        <item x="6"/>
        <item x="97"/>
        <item x="20"/>
        <item x="57"/>
        <item x="7"/>
        <item x="38"/>
        <item x="26"/>
        <item x="15"/>
        <item x="67"/>
        <item x="30"/>
        <item x="62"/>
        <item x="58"/>
        <item x="1"/>
        <item x="45"/>
        <item x="82"/>
        <item x="71"/>
        <item x="93"/>
        <item x="60"/>
        <item x="96"/>
        <item x="84"/>
        <item x="8"/>
        <item x="35"/>
        <item x="49"/>
        <item x="68"/>
        <item x="5"/>
        <item x="77"/>
        <item x="31"/>
        <item x="98"/>
        <item x="9"/>
        <item x="25"/>
        <item x="52"/>
        <item x="66"/>
        <item x="47"/>
        <item x="14"/>
        <item x="43"/>
        <item x="87"/>
        <item x="55"/>
        <item x="56"/>
        <item x="29"/>
        <item x="91"/>
        <item x="64"/>
        <item x="16"/>
        <item x="74"/>
        <item x="53"/>
        <item x="19"/>
        <item x="79"/>
        <item x="69"/>
        <item x="34"/>
        <item x="86"/>
        <item x="23"/>
        <item x="24"/>
        <item x="85"/>
        <item x="18"/>
        <item x="63"/>
        <item x="59"/>
        <item x="36"/>
        <item x="3"/>
        <item x="73"/>
        <item x="95"/>
        <item x="22"/>
        <item x="27"/>
        <item x="50"/>
        <item x="13"/>
        <item x="17"/>
        <item x="42"/>
        <item x="12"/>
        <item x="11"/>
        <item x="32"/>
        <item x="28"/>
        <item x="51"/>
        <item x="48"/>
        <item x="40"/>
        <item x="99"/>
        <item x="33"/>
        <item x="72"/>
        <item x="61"/>
        <item x="37"/>
        <item x="4"/>
        <item x="65"/>
        <item x="2"/>
        <item x="44"/>
        <item x="75"/>
        <item x="10"/>
        <item x="78"/>
        <item x="46"/>
        <item x="81"/>
        <item x="88"/>
        <item x="80"/>
        <item x="70"/>
        <item x="21"/>
        <item x="39"/>
        <item x="89"/>
        <item x="54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axis="axisRow"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 (IN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6:B19" firstHeaderRow="1" firstDataRow="1" firstDataCol="1"/>
  <pivotFields count="15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81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compact="0" showAll="0">
      <items count="8">
        <item x="3"/>
        <item x="1"/>
        <item x="6"/>
        <item x="4"/>
        <item x="2"/>
        <item x="0"/>
        <item x="5"/>
        <item t="default"/>
      </items>
    </pivotField>
    <pivotField compact="0" showAll="0">
      <items count="9">
        <item x="2"/>
        <item x="7"/>
        <item x="6"/>
        <item x="4"/>
        <item x="3"/>
        <item x="1"/>
        <item x="5"/>
        <item x="0"/>
        <item t="default"/>
      </items>
    </pivotField>
    <pivotField compact="0" showAll="0">
      <items count="30">
        <item x="21"/>
        <item x="13"/>
        <item x="17"/>
        <item x="0"/>
        <item x="23"/>
        <item x="15"/>
        <item x="27"/>
        <item x="6"/>
        <item x="4"/>
        <item x="2"/>
        <item x="10"/>
        <item x="14"/>
        <item x="26"/>
        <item x="11"/>
        <item x="9"/>
        <item x="28"/>
        <item x="18"/>
        <item x="7"/>
        <item x="24"/>
        <item x="5"/>
        <item x="1"/>
        <item x="3"/>
        <item x="16"/>
        <item x="22"/>
        <item x="25"/>
        <item x="8"/>
        <item x="19"/>
        <item x="20"/>
        <item x="12"/>
        <item t="default"/>
      </items>
    </pivotField>
    <pivotField dataField="1" compact="0" numFmtId="182" showAll="0">
      <items count="101">
        <item x="76"/>
        <item x="41"/>
        <item x="92"/>
        <item x="94"/>
        <item x="83"/>
        <item x="0"/>
        <item x="90"/>
        <item x="6"/>
        <item x="97"/>
        <item x="20"/>
        <item x="57"/>
        <item x="7"/>
        <item x="38"/>
        <item x="26"/>
        <item x="15"/>
        <item x="67"/>
        <item x="30"/>
        <item x="62"/>
        <item x="58"/>
        <item x="1"/>
        <item x="45"/>
        <item x="82"/>
        <item x="71"/>
        <item x="93"/>
        <item x="60"/>
        <item x="96"/>
        <item x="84"/>
        <item x="8"/>
        <item x="35"/>
        <item x="49"/>
        <item x="68"/>
        <item x="5"/>
        <item x="77"/>
        <item x="31"/>
        <item x="98"/>
        <item x="9"/>
        <item x="25"/>
        <item x="52"/>
        <item x="66"/>
        <item x="47"/>
        <item x="14"/>
        <item x="43"/>
        <item x="87"/>
        <item x="55"/>
        <item x="56"/>
        <item x="29"/>
        <item x="91"/>
        <item x="64"/>
        <item x="16"/>
        <item x="74"/>
        <item x="53"/>
        <item x="19"/>
        <item x="79"/>
        <item x="69"/>
        <item x="34"/>
        <item x="86"/>
        <item x="23"/>
        <item x="24"/>
        <item x="85"/>
        <item x="18"/>
        <item x="63"/>
        <item x="59"/>
        <item x="36"/>
        <item x="3"/>
        <item x="73"/>
        <item x="95"/>
        <item x="22"/>
        <item x="27"/>
        <item x="50"/>
        <item x="13"/>
        <item x="17"/>
        <item x="42"/>
        <item x="12"/>
        <item x="11"/>
        <item x="32"/>
        <item x="28"/>
        <item x="51"/>
        <item x="48"/>
        <item x="40"/>
        <item x="99"/>
        <item x="33"/>
        <item x="72"/>
        <item x="61"/>
        <item x="37"/>
        <item x="4"/>
        <item x="65"/>
        <item x="2"/>
        <item x="44"/>
        <item x="75"/>
        <item x="10"/>
        <item x="78"/>
        <item x="46"/>
        <item x="81"/>
        <item x="88"/>
        <item x="80"/>
        <item x="70"/>
        <item x="21"/>
        <item x="39"/>
        <item x="89"/>
        <item x="54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Amount (IN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16:G21" firstHeaderRow="1" firstDataRow="1" firstDataCol="1"/>
  <pivotFields count="15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numFmtId="181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compact="0" showAll="0">
      <items count="8">
        <item x="3"/>
        <item x="1"/>
        <item x="6"/>
        <item x="4"/>
        <item x="2"/>
        <item x="0"/>
        <item x="5"/>
        <item t="default"/>
      </items>
    </pivotField>
    <pivotField compact="0" showAll="0">
      <items count="9">
        <item x="2"/>
        <item x="7"/>
        <item x="6"/>
        <item x="4"/>
        <item x="3"/>
        <item x="1"/>
        <item x="5"/>
        <item x="0"/>
        <item t="default"/>
      </items>
    </pivotField>
    <pivotField compact="0" showAll="0">
      <items count="30">
        <item x="21"/>
        <item x="13"/>
        <item x="17"/>
        <item x="0"/>
        <item x="23"/>
        <item x="15"/>
        <item x="27"/>
        <item x="6"/>
        <item x="4"/>
        <item x="2"/>
        <item x="10"/>
        <item x="14"/>
        <item x="26"/>
        <item x="11"/>
        <item x="9"/>
        <item x="28"/>
        <item x="18"/>
        <item x="7"/>
        <item x="24"/>
        <item x="5"/>
        <item x="1"/>
        <item x="3"/>
        <item x="16"/>
        <item x="22"/>
        <item x="25"/>
        <item x="8"/>
        <item x="19"/>
        <item x="20"/>
        <item x="12"/>
        <item t="default"/>
      </items>
    </pivotField>
    <pivotField dataField="1" compact="0" numFmtId="182" showAll="0">
      <items count="101">
        <item x="76"/>
        <item x="41"/>
        <item x="92"/>
        <item x="94"/>
        <item x="83"/>
        <item x="0"/>
        <item x="90"/>
        <item x="6"/>
        <item x="97"/>
        <item x="20"/>
        <item x="57"/>
        <item x="7"/>
        <item x="38"/>
        <item x="26"/>
        <item x="15"/>
        <item x="67"/>
        <item x="30"/>
        <item x="62"/>
        <item x="58"/>
        <item x="1"/>
        <item x="45"/>
        <item x="82"/>
        <item x="71"/>
        <item x="93"/>
        <item x="60"/>
        <item x="96"/>
        <item x="84"/>
        <item x="8"/>
        <item x="35"/>
        <item x="49"/>
        <item x="68"/>
        <item x="5"/>
        <item x="77"/>
        <item x="31"/>
        <item x="98"/>
        <item x="9"/>
        <item x="25"/>
        <item x="52"/>
        <item x="66"/>
        <item x="47"/>
        <item x="14"/>
        <item x="43"/>
        <item x="87"/>
        <item x="55"/>
        <item x="56"/>
        <item x="29"/>
        <item x="91"/>
        <item x="64"/>
        <item x="16"/>
        <item x="74"/>
        <item x="53"/>
        <item x="19"/>
        <item x="79"/>
        <item x="69"/>
        <item x="34"/>
        <item x="86"/>
        <item x="23"/>
        <item x="24"/>
        <item x="85"/>
        <item x="18"/>
        <item x="63"/>
        <item x="59"/>
        <item x="36"/>
        <item x="3"/>
        <item x="73"/>
        <item x="95"/>
        <item x="22"/>
        <item x="27"/>
        <item x="50"/>
        <item x="13"/>
        <item x="17"/>
        <item x="42"/>
        <item x="12"/>
        <item x="11"/>
        <item x="32"/>
        <item x="28"/>
        <item x="51"/>
        <item x="48"/>
        <item x="40"/>
        <item x="99"/>
        <item x="33"/>
        <item x="72"/>
        <item x="61"/>
        <item x="37"/>
        <item x="4"/>
        <item x="65"/>
        <item x="2"/>
        <item x="44"/>
        <item x="75"/>
        <item x="10"/>
        <item x="78"/>
        <item x="46"/>
        <item x="81"/>
        <item x="88"/>
        <item x="80"/>
        <item x="70"/>
        <item x="21"/>
        <item x="39"/>
        <item x="89"/>
        <item x="54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 (INR)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eed_Want" sourceName="Need/Want">
  <pivotTables>
    <pivotTable tabId="4" name="PivotTable1"/>
    <pivotTable tabId="4" name="PivotTable2"/>
    <pivotTable tabId="4" name="PivotTable3"/>
    <pivotTable tabId="4" name="PivotTable4"/>
    <pivotTable tabId="4" name="PivotTable5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4" name="PivotTable1"/>
    <pivotTable tabId="4" name="PivotTable2"/>
    <pivotTable tabId="4" name="PivotTable3"/>
    <pivotTable tabId="4" name="PivotTable4"/>
    <pivotTable tabId="4" name="PivotTable5"/>
  </pivotTables>
  <data>
    <tabular pivotCacheId="1">
      <items count="5">
        <i x="1" s="1"/>
        <i x="4" s="1"/>
        <i x="3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4" name="PivotTable1"/>
    <pivotTable tabId="4" name="PivotTable2"/>
    <pivotTable tabId="4" name="PivotTable3"/>
    <pivotTable tabId="4" name="PivotTable4"/>
    <pivotTable tabId="4" name="PivotTable5"/>
  </pivotTables>
  <data>
    <tabular pivotCacheId="1">
      <items count="5">
        <i x="1" s="1"/>
        <i x="3" s="1"/>
        <i x="4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4" name="PivotTable1"/>
    <pivotTable tabId="4" name="PivotTable2"/>
    <pivotTable tabId="4" name="PivotTable3"/>
    <pivotTable tabId="4" name="PivotTable4"/>
    <pivotTable tabId="4" name="PivotTable5"/>
  </pivotTables>
  <data>
    <tabular pivotCacheId="1">
      <items count="8">
        <i x="2" s="1"/>
        <i x="7" s="1"/>
        <i x="6" s="1"/>
        <i x="4" s="1"/>
        <i x="3" s="1"/>
        <i x="1" s="1"/>
        <i x="5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columnCount="2" style="SlicerStyleOther2" rowHeight="225425"/>
  <slicer name="Payment Method" cache="Slicer_Payment_Method" caption="Payment Method" style="SlicerStyleOther2" rowHeight="225425"/>
  <slicer name="City" cache="Slicer_City" caption="City" style="SlicerStyleOther2" rowHeight="225425"/>
  <slicer name="Need/Want" cache="Slicer_Need_Want" caption="Need/Want" style="SlicerStyleOther2" rowHeight="225425"/>
</slicers>
</file>

<file path=xl/tables/table1.xml><?xml version="1.0" encoding="utf-8"?>
<table xmlns="http://schemas.openxmlformats.org/spreadsheetml/2006/main" id="2" name="Table2" displayName="Table2" ref="A1:O101" totalsRowShown="0">
  <tableColumns count="15">
    <tableColumn id="1" name="Expense ID"/>
    <tableColumn id="2" name="Date" dataDxfId="0"/>
    <tableColumn id="3" name="Day"/>
    <tableColumn id="4" name="Category"/>
    <tableColumn id="5" name="Subcategory"/>
    <tableColumn id="6" name="Amount (INR)" dataDxfId="1"/>
    <tableColumn id="7" name="Payment Method"/>
    <tableColumn id="8" name="City"/>
    <tableColumn id="9" name="Recurring"/>
    <tableColumn id="10" name="Need/Want"/>
    <tableColumn id="11" name="MONTH" dataDxfId="2">
      <calculatedColumnFormula>TEXT(B2,"MMMM")</calculatedColumnFormula>
    </tableColumn>
    <tableColumn id="12" name="month Number" dataDxfId="3">
      <calculatedColumnFormula>MONTH((B2))</calculatedColumnFormula>
    </tableColumn>
    <tableColumn id="13" name="Expense Level" dataDxfId="4">
      <calculatedColumnFormula>IF(F2&gt;=3000,"high",IF(F2&gt;=1000,"medium","low"))</calculatedColumnFormula>
    </tableColumn>
    <tableColumn id="14" name="Day Type" dataDxfId="5">
      <calculatedColumnFormula>IF(WEEKDAY(B2,2)&gt;5,"weekend","weekday")</calculatedColumnFormula>
    </tableColumn>
    <tableColumn id="15" name="Transaction Number" dataDxfId="6">
      <calculatedColumnFormula>ROW()-1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pane ySplit="1" topLeftCell="A2" activePane="bottomLeft" state="frozen"/>
      <selection/>
      <selection pane="bottomLeft" activeCell="L13" sqref="L13"/>
    </sheetView>
  </sheetViews>
  <sheetFormatPr defaultColWidth="9" defaultRowHeight="14.4"/>
  <cols>
    <col min="1" max="1" width="12" customWidth="1"/>
    <col min="2" max="3" width="14" customWidth="1"/>
    <col min="4" max="4" width="16" customWidth="1"/>
    <col min="5" max="5" width="20" customWidth="1"/>
    <col min="6" max="6" width="15" customWidth="1"/>
    <col min="7" max="7" width="18" customWidth="1"/>
    <col min="8" max="8" width="15" customWidth="1"/>
    <col min="9" max="10" width="12" customWidth="1"/>
  </cols>
  <sheetData>
    <row r="1" spans="1:1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>
      <c r="A2">
        <v>1</v>
      </c>
      <c r="B2" s="19">
        <v>46143</v>
      </c>
      <c r="C2" t="s">
        <v>10</v>
      </c>
      <c r="D2" t="s">
        <v>11</v>
      </c>
      <c r="E2" t="s">
        <v>12</v>
      </c>
      <c r="F2" s="20">
        <v>290.15</v>
      </c>
      <c r="G2" t="s">
        <v>13</v>
      </c>
      <c r="H2" t="s">
        <v>14</v>
      </c>
      <c r="I2" t="s">
        <v>15</v>
      </c>
      <c r="J2" t="s">
        <v>16</v>
      </c>
    </row>
    <row r="3" spans="1:10">
      <c r="A3">
        <v>2</v>
      </c>
      <c r="B3" s="19">
        <v>46146</v>
      </c>
      <c r="C3" t="s">
        <v>17</v>
      </c>
      <c r="D3" t="s">
        <v>18</v>
      </c>
      <c r="E3" t="s">
        <v>19</v>
      </c>
      <c r="F3" s="20">
        <v>495.51</v>
      </c>
      <c r="G3" t="s">
        <v>20</v>
      </c>
      <c r="H3" t="s">
        <v>14</v>
      </c>
      <c r="I3" t="s">
        <v>21</v>
      </c>
      <c r="J3" t="s">
        <v>22</v>
      </c>
    </row>
    <row r="4" spans="1:10">
      <c r="A4">
        <v>3</v>
      </c>
      <c r="B4" s="19">
        <v>46149</v>
      </c>
      <c r="C4" t="s">
        <v>23</v>
      </c>
      <c r="D4" t="s">
        <v>18</v>
      </c>
      <c r="E4" t="s">
        <v>24</v>
      </c>
      <c r="F4" s="20">
        <v>2302.5</v>
      </c>
      <c r="G4" t="s">
        <v>25</v>
      </c>
      <c r="H4" t="s">
        <v>26</v>
      </c>
      <c r="I4" t="s">
        <v>15</v>
      </c>
      <c r="J4" t="s">
        <v>16</v>
      </c>
    </row>
    <row r="5" spans="1:10">
      <c r="A5">
        <v>4</v>
      </c>
      <c r="B5" s="19">
        <v>46153</v>
      </c>
      <c r="C5" t="s">
        <v>17</v>
      </c>
      <c r="D5" t="s">
        <v>27</v>
      </c>
      <c r="E5" t="s">
        <v>28</v>
      </c>
      <c r="F5" s="20">
        <v>1202.37</v>
      </c>
      <c r="G5" t="s">
        <v>29</v>
      </c>
      <c r="H5" t="s">
        <v>14</v>
      </c>
      <c r="I5" t="s">
        <v>15</v>
      </c>
      <c r="J5" t="s">
        <v>22</v>
      </c>
    </row>
    <row r="6" spans="1:10">
      <c r="A6">
        <v>5</v>
      </c>
      <c r="B6" s="19">
        <v>46156</v>
      </c>
      <c r="C6" t="s">
        <v>23</v>
      </c>
      <c r="D6" t="s">
        <v>30</v>
      </c>
      <c r="E6" t="s">
        <v>31</v>
      </c>
      <c r="F6" s="20">
        <v>2212.78</v>
      </c>
      <c r="G6" t="s">
        <v>32</v>
      </c>
      <c r="H6" t="s">
        <v>33</v>
      </c>
      <c r="I6" t="s">
        <v>15</v>
      </c>
      <c r="J6" t="s">
        <v>22</v>
      </c>
    </row>
    <row r="7" spans="1:10">
      <c r="A7">
        <v>6</v>
      </c>
      <c r="B7" s="19">
        <v>46157</v>
      </c>
      <c r="C7" t="s">
        <v>10</v>
      </c>
      <c r="D7" t="s">
        <v>11</v>
      </c>
      <c r="E7" t="s">
        <v>34</v>
      </c>
      <c r="F7" s="20">
        <v>663.8</v>
      </c>
      <c r="G7" t="s">
        <v>32</v>
      </c>
      <c r="H7" t="s">
        <v>35</v>
      </c>
      <c r="I7" t="s">
        <v>15</v>
      </c>
      <c r="J7" t="s">
        <v>22</v>
      </c>
    </row>
    <row r="8" spans="1:10">
      <c r="A8">
        <v>7</v>
      </c>
      <c r="B8" s="19">
        <v>46159</v>
      </c>
      <c r="C8" t="s">
        <v>36</v>
      </c>
      <c r="D8" t="s">
        <v>37</v>
      </c>
      <c r="E8" t="s">
        <v>38</v>
      </c>
      <c r="F8" s="20">
        <v>323.49</v>
      </c>
      <c r="G8" t="s">
        <v>13</v>
      </c>
      <c r="H8" t="s">
        <v>14</v>
      </c>
      <c r="I8" t="s">
        <v>15</v>
      </c>
      <c r="J8" t="s">
        <v>16</v>
      </c>
    </row>
    <row r="9" spans="1:10">
      <c r="A9">
        <v>8</v>
      </c>
      <c r="B9" s="19">
        <v>46162</v>
      </c>
      <c r="C9" t="s">
        <v>39</v>
      </c>
      <c r="D9" t="s">
        <v>27</v>
      </c>
      <c r="E9" t="s">
        <v>40</v>
      </c>
      <c r="F9" s="20">
        <v>396.41</v>
      </c>
      <c r="G9" t="s">
        <v>29</v>
      </c>
      <c r="H9" t="s">
        <v>41</v>
      </c>
      <c r="I9" t="s">
        <v>21</v>
      </c>
      <c r="J9" t="s">
        <v>22</v>
      </c>
    </row>
    <row r="10" spans="1:10">
      <c r="A10">
        <v>9</v>
      </c>
      <c r="B10" s="19">
        <v>46162</v>
      </c>
      <c r="C10" t="s">
        <v>39</v>
      </c>
      <c r="D10" t="s">
        <v>42</v>
      </c>
      <c r="E10" t="s">
        <v>43</v>
      </c>
      <c r="F10" s="20">
        <v>563.13</v>
      </c>
      <c r="G10" t="s">
        <v>20</v>
      </c>
      <c r="H10" t="s">
        <v>41</v>
      </c>
      <c r="I10" t="s">
        <v>21</v>
      </c>
      <c r="J10" t="s">
        <v>16</v>
      </c>
    </row>
    <row r="11" spans="1:10">
      <c r="A11">
        <v>10</v>
      </c>
      <c r="B11" s="19">
        <v>46163</v>
      </c>
      <c r="C11" t="s">
        <v>23</v>
      </c>
      <c r="D11" t="s">
        <v>18</v>
      </c>
      <c r="E11" t="s">
        <v>19</v>
      </c>
      <c r="F11" s="20">
        <v>711.37</v>
      </c>
      <c r="G11" t="s">
        <v>25</v>
      </c>
      <c r="H11" t="s">
        <v>26</v>
      </c>
      <c r="I11" t="s">
        <v>21</v>
      </c>
      <c r="J11" t="s">
        <v>16</v>
      </c>
    </row>
    <row r="12" spans="1:10">
      <c r="A12">
        <v>11</v>
      </c>
      <c r="B12" s="19">
        <v>46163</v>
      </c>
      <c r="C12" t="s">
        <v>23</v>
      </c>
      <c r="D12" t="s">
        <v>18</v>
      </c>
      <c r="E12" t="s">
        <v>44</v>
      </c>
      <c r="F12" s="20">
        <v>2386.85</v>
      </c>
      <c r="G12" t="s">
        <v>32</v>
      </c>
      <c r="H12" t="s">
        <v>35</v>
      </c>
      <c r="I12" t="s">
        <v>15</v>
      </c>
      <c r="J12" t="s">
        <v>16</v>
      </c>
    </row>
    <row r="13" spans="1:10">
      <c r="A13">
        <v>12</v>
      </c>
      <c r="B13" s="19">
        <v>46163</v>
      </c>
      <c r="C13" t="s">
        <v>23</v>
      </c>
      <c r="D13" t="s">
        <v>18</v>
      </c>
      <c r="E13" t="s">
        <v>24</v>
      </c>
      <c r="F13" s="20">
        <v>1773.67</v>
      </c>
      <c r="G13" t="s">
        <v>25</v>
      </c>
      <c r="H13" t="s">
        <v>35</v>
      </c>
      <c r="I13" t="s">
        <v>15</v>
      </c>
      <c r="J13" t="s">
        <v>22</v>
      </c>
    </row>
    <row r="14" spans="1:10">
      <c r="A14">
        <v>13</v>
      </c>
      <c r="B14" s="19">
        <v>46163</v>
      </c>
      <c r="C14" t="s">
        <v>23</v>
      </c>
      <c r="D14" t="s">
        <v>27</v>
      </c>
      <c r="E14" t="s">
        <v>45</v>
      </c>
      <c r="F14" s="20">
        <v>1700.78</v>
      </c>
      <c r="G14" t="s">
        <v>20</v>
      </c>
      <c r="H14" t="s">
        <v>41</v>
      </c>
      <c r="I14" t="s">
        <v>21</v>
      </c>
      <c r="J14" t="s">
        <v>22</v>
      </c>
    </row>
    <row r="15" spans="1:10">
      <c r="A15">
        <v>14</v>
      </c>
      <c r="B15" s="19">
        <v>46165</v>
      </c>
      <c r="C15" t="s">
        <v>46</v>
      </c>
      <c r="D15" t="s">
        <v>18</v>
      </c>
      <c r="E15" t="s">
        <v>44</v>
      </c>
      <c r="F15" s="20">
        <v>1415.64</v>
      </c>
      <c r="G15" t="s">
        <v>13</v>
      </c>
      <c r="H15" t="s">
        <v>33</v>
      </c>
      <c r="I15" t="s">
        <v>15</v>
      </c>
      <c r="J15" t="s">
        <v>22</v>
      </c>
    </row>
    <row r="16" spans="1:10">
      <c r="A16">
        <v>15</v>
      </c>
      <c r="B16" s="19">
        <v>46165</v>
      </c>
      <c r="C16" t="s">
        <v>46</v>
      </c>
      <c r="D16" t="s">
        <v>47</v>
      </c>
      <c r="E16" t="s">
        <v>48</v>
      </c>
      <c r="F16" s="20">
        <v>750.82</v>
      </c>
      <c r="G16" t="s">
        <v>25</v>
      </c>
      <c r="H16" t="s">
        <v>14</v>
      </c>
      <c r="I16" t="s">
        <v>21</v>
      </c>
      <c r="J16" t="s">
        <v>16</v>
      </c>
    </row>
    <row r="17" spans="1:10">
      <c r="A17">
        <v>16</v>
      </c>
      <c r="B17" s="19">
        <v>46166</v>
      </c>
      <c r="C17" t="s">
        <v>36</v>
      </c>
      <c r="D17" t="s">
        <v>47</v>
      </c>
      <c r="E17" t="s">
        <v>48</v>
      </c>
      <c r="F17" s="20">
        <v>449.73</v>
      </c>
      <c r="G17" t="s">
        <v>13</v>
      </c>
      <c r="H17" t="s">
        <v>33</v>
      </c>
      <c r="I17" t="s">
        <v>15</v>
      </c>
      <c r="J17" t="s">
        <v>16</v>
      </c>
    </row>
    <row r="18" spans="1:10">
      <c r="A18">
        <v>17</v>
      </c>
      <c r="B18" s="19">
        <v>46167</v>
      </c>
      <c r="C18" t="s">
        <v>17</v>
      </c>
      <c r="D18" t="s">
        <v>27</v>
      </c>
      <c r="E18" t="s">
        <v>49</v>
      </c>
      <c r="F18" s="20">
        <v>901.85</v>
      </c>
      <c r="G18" t="s">
        <v>25</v>
      </c>
      <c r="H18" t="s">
        <v>35</v>
      </c>
      <c r="I18" t="s">
        <v>21</v>
      </c>
      <c r="J18" t="s">
        <v>16</v>
      </c>
    </row>
    <row r="19" spans="1:10">
      <c r="A19">
        <v>18</v>
      </c>
      <c r="B19" s="19">
        <v>46169</v>
      </c>
      <c r="C19" t="s">
        <v>39</v>
      </c>
      <c r="D19" t="s">
        <v>50</v>
      </c>
      <c r="E19" t="s">
        <v>51</v>
      </c>
      <c r="F19" s="20">
        <v>1474.95</v>
      </c>
      <c r="G19" t="s">
        <v>20</v>
      </c>
      <c r="H19" t="s">
        <v>14</v>
      </c>
      <c r="I19" t="s">
        <v>21</v>
      </c>
      <c r="J19" t="s">
        <v>22</v>
      </c>
    </row>
    <row r="20" spans="1:10">
      <c r="A20">
        <v>19</v>
      </c>
      <c r="B20" s="19">
        <v>46171</v>
      </c>
      <c r="C20" t="s">
        <v>10</v>
      </c>
      <c r="D20" t="s">
        <v>27</v>
      </c>
      <c r="E20" t="s">
        <v>49</v>
      </c>
      <c r="F20" s="20">
        <v>1114.01</v>
      </c>
      <c r="G20" t="s">
        <v>20</v>
      </c>
      <c r="H20" t="s">
        <v>26</v>
      </c>
      <c r="I20" t="s">
        <v>15</v>
      </c>
      <c r="J20" t="s">
        <v>16</v>
      </c>
    </row>
    <row r="21" spans="1:10">
      <c r="A21">
        <v>20</v>
      </c>
      <c r="B21" s="19">
        <v>46171</v>
      </c>
      <c r="C21" t="s">
        <v>10</v>
      </c>
      <c r="D21" t="s">
        <v>11</v>
      </c>
      <c r="E21" t="s">
        <v>12</v>
      </c>
      <c r="F21" s="20">
        <v>910</v>
      </c>
      <c r="G21" t="s">
        <v>20</v>
      </c>
      <c r="H21" t="s">
        <v>26</v>
      </c>
      <c r="I21" t="s">
        <v>15</v>
      </c>
      <c r="J21" t="s">
        <v>16</v>
      </c>
    </row>
    <row r="22" spans="1:10">
      <c r="A22">
        <v>21</v>
      </c>
      <c r="B22" s="19">
        <v>46172</v>
      </c>
      <c r="C22" t="s">
        <v>46</v>
      </c>
      <c r="D22" t="s">
        <v>37</v>
      </c>
      <c r="E22" t="s">
        <v>38</v>
      </c>
      <c r="F22" s="20">
        <v>350.87</v>
      </c>
      <c r="G22" t="s">
        <v>13</v>
      </c>
      <c r="H22" t="s">
        <v>26</v>
      </c>
      <c r="I22" t="s">
        <v>21</v>
      </c>
      <c r="J22" t="s">
        <v>16</v>
      </c>
    </row>
    <row r="23" spans="1:10">
      <c r="A23">
        <v>22</v>
      </c>
      <c r="B23" s="19">
        <v>46173</v>
      </c>
      <c r="C23" t="s">
        <v>36</v>
      </c>
      <c r="D23" t="s">
        <v>42</v>
      </c>
      <c r="E23" t="s">
        <v>52</v>
      </c>
      <c r="F23" s="20">
        <v>3396.88</v>
      </c>
      <c r="G23" t="s">
        <v>25</v>
      </c>
      <c r="H23" t="s">
        <v>26</v>
      </c>
      <c r="I23" t="s">
        <v>21</v>
      </c>
      <c r="J23" t="s">
        <v>22</v>
      </c>
    </row>
    <row r="24" spans="1:10">
      <c r="A24">
        <v>23</v>
      </c>
      <c r="B24" s="19">
        <v>46174</v>
      </c>
      <c r="C24" t="s">
        <v>17</v>
      </c>
      <c r="D24" t="s">
        <v>47</v>
      </c>
      <c r="E24" t="s">
        <v>48</v>
      </c>
      <c r="F24" s="20">
        <v>1356.95</v>
      </c>
      <c r="G24" t="s">
        <v>29</v>
      </c>
      <c r="H24" t="s">
        <v>14</v>
      </c>
      <c r="I24" t="s">
        <v>15</v>
      </c>
      <c r="J24" t="s">
        <v>16</v>
      </c>
    </row>
    <row r="25" spans="1:10">
      <c r="A25">
        <v>24</v>
      </c>
      <c r="B25" s="19">
        <v>46174</v>
      </c>
      <c r="C25" t="s">
        <v>17</v>
      </c>
      <c r="D25" t="s">
        <v>27</v>
      </c>
      <c r="E25" t="s">
        <v>28</v>
      </c>
      <c r="F25" s="20">
        <v>1080.45</v>
      </c>
      <c r="G25" t="s">
        <v>25</v>
      </c>
      <c r="H25" t="s">
        <v>35</v>
      </c>
      <c r="I25" t="s">
        <v>15</v>
      </c>
      <c r="J25" t="s">
        <v>16</v>
      </c>
    </row>
    <row r="26" spans="1:10">
      <c r="A26">
        <v>25</v>
      </c>
      <c r="B26" s="19">
        <v>46176</v>
      </c>
      <c r="C26" t="s">
        <v>39</v>
      </c>
      <c r="D26" t="s">
        <v>18</v>
      </c>
      <c r="E26" t="s">
        <v>19</v>
      </c>
      <c r="F26" s="20">
        <v>1086.37</v>
      </c>
      <c r="G26" t="s">
        <v>25</v>
      </c>
      <c r="H26" t="s">
        <v>33</v>
      </c>
      <c r="I26" t="s">
        <v>15</v>
      </c>
      <c r="J26" t="s">
        <v>16</v>
      </c>
    </row>
    <row r="27" spans="1:10">
      <c r="A27">
        <v>26</v>
      </c>
      <c r="B27" s="19">
        <v>46176</v>
      </c>
      <c r="C27" t="s">
        <v>39</v>
      </c>
      <c r="D27" t="s">
        <v>30</v>
      </c>
      <c r="E27" t="s">
        <v>31</v>
      </c>
      <c r="F27" s="20">
        <v>713.81</v>
      </c>
      <c r="G27" t="s">
        <v>32</v>
      </c>
      <c r="H27" t="s">
        <v>14</v>
      </c>
      <c r="I27" t="s">
        <v>21</v>
      </c>
      <c r="J27" t="s">
        <v>22</v>
      </c>
    </row>
    <row r="28" spans="1:10">
      <c r="A28">
        <v>27</v>
      </c>
      <c r="B28" s="19">
        <v>46177</v>
      </c>
      <c r="C28" t="s">
        <v>23</v>
      </c>
      <c r="D28" t="s">
        <v>47</v>
      </c>
      <c r="E28" t="s">
        <v>53</v>
      </c>
      <c r="F28" s="20">
        <v>422.75</v>
      </c>
      <c r="G28" t="s">
        <v>20</v>
      </c>
      <c r="H28" t="s">
        <v>14</v>
      </c>
      <c r="I28" t="s">
        <v>15</v>
      </c>
      <c r="J28" t="s">
        <v>16</v>
      </c>
    </row>
    <row r="29" spans="1:10">
      <c r="A29">
        <v>28</v>
      </c>
      <c r="B29" s="19">
        <v>46178</v>
      </c>
      <c r="C29" t="s">
        <v>10</v>
      </c>
      <c r="D29" t="s">
        <v>18</v>
      </c>
      <c r="E29" t="s">
        <v>44</v>
      </c>
      <c r="F29" s="20">
        <v>1371.12</v>
      </c>
      <c r="G29" t="s">
        <v>25</v>
      </c>
      <c r="H29" t="s">
        <v>35</v>
      </c>
      <c r="I29" t="s">
        <v>21</v>
      </c>
      <c r="J29" t="s">
        <v>16</v>
      </c>
    </row>
    <row r="30" spans="1:10">
      <c r="A30">
        <v>29</v>
      </c>
      <c r="B30" s="19">
        <v>46178</v>
      </c>
      <c r="C30" t="s">
        <v>10</v>
      </c>
      <c r="D30" t="s">
        <v>18</v>
      </c>
      <c r="E30" t="s">
        <v>44</v>
      </c>
      <c r="F30" s="20">
        <v>1798.18</v>
      </c>
      <c r="G30" t="s">
        <v>20</v>
      </c>
      <c r="H30" t="s">
        <v>14</v>
      </c>
      <c r="I30" t="s">
        <v>21</v>
      </c>
      <c r="J30" t="s">
        <v>22</v>
      </c>
    </row>
    <row r="31" spans="1:10">
      <c r="A31">
        <v>30</v>
      </c>
      <c r="B31" s="19">
        <v>46178</v>
      </c>
      <c r="C31" t="s">
        <v>10</v>
      </c>
      <c r="D31" t="s">
        <v>47</v>
      </c>
      <c r="E31" t="s">
        <v>54</v>
      </c>
      <c r="F31" s="20">
        <v>823.28</v>
      </c>
      <c r="G31" t="s">
        <v>20</v>
      </c>
      <c r="H31" t="s">
        <v>41</v>
      </c>
      <c r="I31" t="s">
        <v>15</v>
      </c>
      <c r="J31" t="s">
        <v>22</v>
      </c>
    </row>
    <row r="32" spans="1:10">
      <c r="A32">
        <v>31</v>
      </c>
      <c r="B32" s="19">
        <v>46178</v>
      </c>
      <c r="C32" t="s">
        <v>10</v>
      </c>
      <c r="D32" t="s">
        <v>37</v>
      </c>
      <c r="E32" t="s">
        <v>55</v>
      </c>
      <c r="F32" s="20">
        <v>465.02</v>
      </c>
      <c r="G32" t="s">
        <v>20</v>
      </c>
      <c r="H32" t="s">
        <v>33</v>
      </c>
      <c r="I32" t="s">
        <v>15</v>
      </c>
      <c r="J32" t="s">
        <v>16</v>
      </c>
    </row>
    <row r="33" spans="1:10">
      <c r="A33">
        <v>32</v>
      </c>
      <c r="B33" s="19">
        <v>46179</v>
      </c>
      <c r="C33" t="s">
        <v>46</v>
      </c>
      <c r="D33" t="s">
        <v>27</v>
      </c>
      <c r="E33" t="s">
        <v>40</v>
      </c>
      <c r="F33" s="20">
        <v>690.43</v>
      </c>
      <c r="G33" t="s">
        <v>32</v>
      </c>
      <c r="H33" t="s">
        <v>35</v>
      </c>
      <c r="I33" t="s">
        <v>21</v>
      </c>
      <c r="J33" t="s">
        <v>22</v>
      </c>
    </row>
    <row r="34" spans="1:10">
      <c r="A34">
        <v>33</v>
      </c>
      <c r="B34" s="19">
        <v>46180</v>
      </c>
      <c r="C34" t="s">
        <v>36</v>
      </c>
      <c r="D34" t="s">
        <v>27</v>
      </c>
      <c r="E34" t="s">
        <v>28</v>
      </c>
      <c r="F34" s="20">
        <v>1779.62</v>
      </c>
      <c r="G34" t="s">
        <v>25</v>
      </c>
      <c r="H34" t="s">
        <v>41</v>
      </c>
      <c r="I34" t="s">
        <v>21</v>
      </c>
      <c r="J34" t="s">
        <v>16</v>
      </c>
    </row>
    <row r="35" spans="1:10">
      <c r="A35">
        <v>34</v>
      </c>
      <c r="B35" s="19">
        <v>46180</v>
      </c>
      <c r="C35" t="s">
        <v>36</v>
      </c>
      <c r="D35" t="s">
        <v>27</v>
      </c>
      <c r="E35" t="s">
        <v>49</v>
      </c>
      <c r="F35" s="20">
        <v>2106.18</v>
      </c>
      <c r="G35" t="s">
        <v>32</v>
      </c>
      <c r="H35" t="s">
        <v>35</v>
      </c>
      <c r="I35" t="s">
        <v>21</v>
      </c>
      <c r="J35" t="s">
        <v>22</v>
      </c>
    </row>
    <row r="36" spans="1:10">
      <c r="A36">
        <v>35</v>
      </c>
      <c r="B36" s="19">
        <v>46184</v>
      </c>
      <c r="C36" t="s">
        <v>23</v>
      </c>
      <c r="D36" t="s">
        <v>30</v>
      </c>
      <c r="E36" t="s">
        <v>56</v>
      </c>
      <c r="F36" s="20">
        <v>957.4</v>
      </c>
      <c r="G36" t="s">
        <v>20</v>
      </c>
      <c r="H36" t="s">
        <v>26</v>
      </c>
      <c r="I36" t="s">
        <v>21</v>
      </c>
      <c r="J36" t="s">
        <v>22</v>
      </c>
    </row>
    <row r="37" spans="1:10">
      <c r="A37">
        <v>36</v>
      </c>
      <c r="B37" s="19">
        <v>46186</v>
      </c>
      <c r="C37" t="s">
        <v>46</v>
      </c>
      <c r="D37" t="s">
        <v>30</v>
      </c>
      <c r="E37" t="s">
        <v>56</v>
      </c>
      <c r="F37" s="20">
        <v>578.63</v>
      </c>
      <c r="G37" t="s">
        <v>29</v>
      </c>
      <c r="H37" t="s">
        <v>26</v>
      </c>
      <c r="I37" t="s">
        <v>15</v>
      </c>
      <c r="J37" t="s">
        <v>22</v>
      </c>
    </row>
    <row r="38" spans="1:10">
      <c r="A38">
        <v>37</v>
      </c>
      <c r="B38" s="19">
        <v>46187</v>
      </c>
      <c r="C38" t="s">
        <v>36</v>
      </c>
      <c r="D38" t="s">
        <v>30</v>
      </c>
      <c r="E38" t="s">
        <v>56</v>
      </c>
      <c r="F38" s="20">
        <v>1174.66</v>
      </c>
      <c r="G38" t="s">
        <v>25</v>
      </c>
      <c r="H38" t="s">
        <v>14</v>
      </c>
      <c r="I38" t="s">
        <v>15</v>
      </c>
      <c r="J38" t="s">
        <v>22</v>
      </c>
    </row>
    <row r="39" spans="1:10">
      <c r="A39">
        <v>38</v>
      </c>
      <c r="B39" s="19">
        <v>46188</v>
      </c>
      <c r="C39" t="s">
        <v>17</v>
      </c>
      <c r="D39" t="s">
        <v>27</v>
      </c>
      <c r="E39" t="s">
        <v>40</v>
      </c>
      <c r="F39" s="20">
        <v>2135.28</v>
      </c>
      <c r="G39" t="s">
        <v>13</v>
      </c>
      <c r="H39" t="s">
        <v>35</v>
      </c>
      <c r="I39" t="s">
        <v>15</v>
      </c>
      <c r="J39" t="s">
        <v>16</v>
      </c>
    </row>
    <row r="40" spans="1:10">
      <c r="A40">
        <v>39</v>
      </c>
      <c r="B40" s="19">
        <v>46192</v>
      </c>
      <c r="C40" t="s">
        <v>10</v>
      </c>
      <c r="D40" t="s">
        <v>37</v>
      </c>
      <c r="E40" t="s">
        <v>57</v>
      </c>
      <c r="F40" s="20">
        <v>407.73</v>
      </c>
      <c r="G40" t="s">
        <v>32</v>
      </c>
      <c r="H40" t="s">
        <v>14</v>
      </c>
      <c r="I40" t="s">
        <v>21</v>
      </c>
      <c r="J40" t="s">
        <v>22</v>
      </c>
    </row>
    <row r="41" spans="1:10">
      <c r="A41">
        <v>40</v>
      </c>
      <c r="B41" s="19">
        <v>46194</v>
      </c>
      <c r="C41" t="s">
        <v>36</v>
      </c>
      <c r="D41" t="s">
        <v>50</v>
      </c>
      <c r="E41" t="s">
        <v>58</v>
      </c>
      <c r="F41" s="20">
        <v>4348.89</v>
      </c>
      <c r="G41" t="s">
        <v>32</v>
      </c>
      <c r="H41" t="s">
        <v>14</v>
      </c>
      <c r="I41" t="s">
        <v>21</v>
      </c>
      <c r="J41" t="s">
        <v>22</v>
      </c>
    </row>
    <row r="42" spans="1:10">
      <c r="A42">
        <v>41</v>
      </c>
      <c r="B42" s="19">
        <v>46194</v>
      </c>
      <c r="C42" t="s">
        <v>36</v>
      </c>
      <c r="D42" t="s">
        <v>27</v>
      </c>
      <c r="E42" t="s">
        <v>45</v>
      </c>
      <c r="F42" s="20">
        <v>2002.57</v>
      </c>
      <c r="G42" t="s">
        <v>13</v>
      </c>
      <c r="H42" t="s">
        <v>41</v>
      </c>
      <c r="I42" t="s">
        <v>21</v>
      </c>
      <c r="J42" t="s">
        <v>16</v>
      </c>
    </row>
    <row r="43" spans="1:10">
      <c r="A43">
        <v>42</v>
      </c>
      <c r="B43" s="19">
        <v>46195</v>
      </c>
      <c r="C43" t="s">
        <v>17</v>
      </c>
      <c r="D43" t="s">
        <v>18</v>
      </c>
      <c r="E43" t="s">
        <v>24</v>
      </c>
      <c r="F43" s="20">
        <v>182.72</v>
      </c>
      <c r="G43" t="s">
        <v>13</v>
      </c>
      <c r="H43" t="s">
        <v>41</v>
      </c>
      <c r="I43" t="s">
        <v>21</v>
      </c>
      <c r="J43" t="s">
        <v>22</v>
      </c>
    </row>
    <row r="44" spans="1:10">
      <c r="A44">
        <v>43</v>
      </c>
      <c r="B44" s="19">
        <v>46196</v>
      </c>
      <c r="C44" t="s">
        <v>59</v>
      </c>
      <c r="D44" t="s">
        <v>30</v>
      </c>
      <c r="E44" t="s">
        <v>31</v>
      </c>
      <c r="F44" s="20">
        <v>1673.57</v>
      </c>
      <c r="G44" t="s">
        <v>29</v>
      </c>
      <c r="H44" t="s">
        <v>41</v>
      </c>
      <c r="I44" t="s">
        <v>15</v>
      </c>
      <c r="J44" t="s">
        <v>22</v>
      </c>
    </row>
    <row r="45" spans="1:10">
      <c r="A45">
        <v>44</v>
      </c>
      <c r="B45" s="19">
        <v>46198</v>
      </c>
      <c r="C45" t="s">
        <v>23</v>
      </c>
      <c r="D45" t="s">
        <v>11</v>
      </c>
      <c r="E45" t="s">
        <v>60</v>
      </c>
      <c r="F45" s="20">
        <v>755.32</v>
      </c>
      <c r="G45" t="s">
        <v>13</v>
      </c>
      <c r="H45" t="s">
        <v>14</v>
      </c>
      <c r="I45" t="s">
        <v>21</v>
      </c>
      <c r="J45" t="s">
        <v>22</v>
      </c>
    </row>
    <row r="46" spans="1:10">
      <c r="A46">
        <v>45</v>
      </c>
      <c r="B46" s="19">
        <v>46198</v>
      </c>
      <c r="C46" t="s">
        <v>23</v>
      </c>
      <c r="D46" t="s">
        <v>50</v>
      </c>
      <c r="E46" t="s">
        <v>61</v>
      </c>
      <c r="F46" s="20">
        <v>2320.57</v>
      </c>
      <c r="G46" t="s">
        <v>20</v>
      </c>
      <c r="H46" t="s">
        <v>35</v>
      </c>
      <c r="I46" t="s">
        <v>21</v>
      </c>
      <c r="J46" t="s">
        <v>16</v>
      </c>
    </row>
    <row r="47" spans="1:10">
      <c r="A47">
        <v>46</v>
      </c>
      <c r="B47" s="19">
        <v>46203</v>
      </c>
      <c r="C47" t="s">
        <v>59</v>
      </c>
      <c r="D47" t="s">
        <v>11</v>
      </c>
      <c r="E47" t="s">
        <v>62</v>
      </c>
      <c r="F47" s="20">
        <v>509.04</v>
      </c>
      <c r="G47" t="s">
        <v>25</v>
      </c>
      <c r="H47" t="s">
        <v>26</v>
      </c>
      <c r="I47" t="s">
        <v>21</v>
      </c>
      <c r="J47" t="s">
        <v>22</v>
      </c>
    </row>
    <row r="48" spans="1:10">
      <c r="A48">
        <v>47</v>
      </c>
      <c r="B48" s="19">
        <v>46204</v>
      </c>
      <c r="C48" t="s">
        <v>39</v>
      </c>
      <c r="D48" t="s">
        <v>27</v>
      </c>
      <c r="E48" t="s">
        <v>49</v>
      </c>
      <c r="F48" s="20">
        <v>2717.08</v>
      </c>
      <c r="G48" t="s">
        <v>20</v>
      </c>
      <c r="H48" t="s">
        <v>33</v>
      </c>
      <c r="I48" t="s">
        <v>15</v>
      </c>
      <c r="J48" t="s">
        <v>22</v>
      </c>
    </row>
    <row r="49" spans="1:10">
      <c r="A49">
        <v>48</v>
      </c>
      <c r="B49" s="19">
        <v>46205</v>
      </c>
      <c r="C49" t="s">
        <v>23</v>
      </c>
      <c r="D49" t="s">
        <v>37</v>
      </c>
      <c r="E49" t="s">
        <v>55</v>
      </c>
      <c r="F49" s="20">
        <v>746.82</v>
      </c>
      <c r="G49" t="s">
        <v>32</v>
      </c>
      <c r="H49" t="s">
        <v>26</v>
      </c>
      <c r="I49" t="s">
        <v>15</v>
      </c>
      <c r="J49" t="s">
        <v>16</v>
      </c>
    </row>
    <row r="50" spans="1:10">
      <c r="A50">
        <v>49</v>
      </c>
      <c r="B50" s="19">
        <v>46205</v>
      </c>
      <c r="C50" t="s">
        <v>23</v>
      </c>
      <c r="D50" t="s">
        <v>27</v>
      </c>
      <c r="E50" t="s">
        <v>49</v>
      </c>
      <c r="F50" s="20">
        <v>1973.12</v>
      </c>
      <c r="G50" t="s">
        <v>29</v>
      </c>
      <c r="H50" t="s">
        <v>33</v>
      </c>
      <c r="I50" t="s">
        <v>15</v>
      </c>
      <c r="J50" t="s">
        <v>16</v>
      </c>
    </row>
    <row r="51" spans="1:10">
      <c r="A51">
        <v>50</v>
      </c>
      <c r="B51" s="19">
        <v>46207</v>
      </c>
      <c r="C51" t="s">
        <v>46</v>
      </c>
      <c r="D51" t="s">
        <v>37</v>
      </c>
      <c r="E51" t="s">
        <v>63</v>
      </c>
      <c r="F51" s="20">
        <v>587.01</v>
      </c>
      <c r="G51" t="s">
        <v>25</v>
      </c>
      <c r="H51" t="s">
        <v>33</v>
      </c>
      <c r="I51" t="s">
        <v>15</v>
      </c>
      <c r="J51" t="s">
        <v>22</v>
      </c>
    </row>
    <row r="52" spans="1:10">
      <c r="A52">
        <v>51</v>
      </c>
      <c r="B52" s="19">
        <v>46207</v>
      </c>
      <c r="C52" t="s">
        <v>46</v>
      </c>
      <c r="D52" t="s">
        <v>47</v>
      </c>
      <c r="E52" t="s">
        <v>64</v>
      </c>
      <c r="F52" s="20">
        <v>1406.56</v>
      </c>
      <c r="G52" t="s">
        <v>13</v>
      </c>
      <c r="H52" t="s">
        <v>26</v>
      </c>
      <c r="I52" t="s">
        <v>21</v>
      </c>
      <c r="J52" t="s">
        <v>22</v>
      </c>
    </row>
    <row r="53" spans="1:10">
      <c r="A53">
        <v>52</v>
      </c>
      <c r="B53" s="19">
        <v>46208</v>
      </c>
      <c r="C53" t="s">
        <v>36</v>
      </c>
      <c r="D53" t="s">
        <v>18</v>
      </c>
      <c r="E53" t="s">
        <v>44</v>
      </c>
      <c r="F53" s="20">
        <v>1901.67</v>
      </c>
      <c r="G53" t="s">
        <v>13</v>
      </c>
      <c r="H53" t="s">
        <v>26</v>
      </c>
      <c r="I53" t="s">
        <v>15</v>
      </c>
      <c r="J53" t="s">
        <v>22</v>
      </c>
    </row>
    <row r="54" spans="1:10">
      <c r="A54">
        <v>53</v>
      </c>
      <c r="B54" s="19">
        <v>46211</v>
      </c>
      <c r="C54" t="s">
        <v>39</v>
      </c>
      <c r="D54" t="s">
        <v>27</v>
      </c>
      <c r="E54" t="s">
        <v>49</v>
      </c>
      <c r="F54" s="20">
        <v>736.32</v>
      </c>
      <c r="G54" t="s">
        <v>29</v>
      </c>
      <c r="H54" t="s">
        <v>33</v>
      </c>
      <c r="I54" t="s">
        <v>15</v>
      </c>
      <c r="J54" t="s">
        <v>22</v>
      </c>
    </row>
    <row r="55" spans="1:10">
      <c r="A55">
        <v>54</v>
      </c>
      <c r="B55" s="19">
        <v>46213</v>
      </c>
      <c r="C55" t="s">
        <v>10</v>
      </c>
      <c r="D55" t="s">
        <v>47</v>
      </c>
      <c r="E55" t="s">
        <v>53</v>
      </c>
      <c r="F55" s="20">
        <v>908.29</v>
      </c>
      <c r="G55" t="s">
        <v>13</v>
      </c>
      <c r="H55" t="s">
        <v>41</v>
      </c>
      <c r="I55" t="s">
        <v>15</v>
      </c>
      <c r="J55" t="s">
        <v>22</v>
      </c>
    </row>
    <row r="56" spans="1:10">
      <c r="A56">
        <v>55</v>
      </c>
      <c r="B56" s="19">
        <v>46213</v>
      </c>
      <c r="C56" t="s">
        <v>10</v>
      </c>
      <c r="D56" t="s">
        <v>50</v>
      </c>
      <c r="E56" t="s">
        <v>61</v>
      </c>
      <c r="F56" s="20">
        <v>4983.83</v>
      </c>
      <c r="G56" t="s">
        <v>25</v>
      </c>
      <c r="H56" t="s">
        <v>14</v>
      </c>
      <c r="I56" t="s">
        <v>21</v>
      </c>
      <c r="J56" t="s">
        <v>22</v>
      </c>
    </row>
    <row r="57" spans="1:10">
      <c r="A57">
        <v>56</v>
      </c>
      <c r="B57" s="19">
        <v>46215</v>
      </c>
      <c r="C57" t="s">
        <v>36</v>
      </c>
      <c r="D57" t="s">
        <v>37</v>
      </c>
      <c r="E57" t="s">
        <v>55</v>
      </c>
      <c r="F57" s="20">
        <v>760.69</v>
      </c>
      <c r="G57" t="s">
        <v>20</v>
      </c>
      <c r="H57" t="s">
        <v>26</v>
      </c>
      <c r="I57" t="s">
        <v>21</v>
      </c>
      <c r="J57" t="s">
        <v>16</v>
      </c>
    </row>
    <row r="58" spans="1:10">
      <c r="A58">
        <v>57</v>
      </c>
      <c r="B58" s="19">
        <v>46216</v>
      </c>
      <c r="C58" t="s">
        <v>17</v>
      </c>
      <c r="D58" t="s">
        <v>47</v>
      </c>
      <c r="E58" t="s">
        <v>48</v>
      </c>
      <c r="F58" s="20">
        <v>770.2</v>
      </c>
      <c r="G58" t="s">
        <v>32</v>
      </c>
      <c r="H58" t="s">
        <v>26</v>
      </c>
      <c r="I58" t="s">
        <v>15</v>
      </c>
      <c r="J58" t="s">
        <v>22</v>
      </c>
    </row>
    <row r="59" spans="1:10">
      <c r="A59">
        <v>58</v>
      </c>
      <c r="B59" s="19">
        <v>46217</v>
      </c>
      <c r="C59" t="s">
        <v>59</v>
      </c>
      <c r="D59" t="s">
        <v>37</v>
      </c>
      <c r="E59" t="s">
        <v>55</v>
      </c>
      <c r="F59" s="20">
        <v>364.42</v>
      </c>
      <c r="G59" t="s">
        <v>25</v>
      </c>
      <c r="H59" t="s">
        <v>35</v>
      </c>
      <c r="I59" t="s">
        <v>21</v>
      </c>
      <c r="J59" t="s">
        <v>22</v>
      </c>
    </row>
    <row r="60" spans="1:10">
      <c r="A60">
        <v>59</v>
      </c>
      <c r="B60" s="19">
        <v>46217</v>
      </c>
      <c r="C60" t="s">
        <v>59</v>
      </c>
      <c r="D60" t="s">
        <v>37</v>
      </c>
      <c r="E60" t="s">
        <v>38</v>
      </c>
      <c r="F60" s="20">
        <v>481.85</v>
      </c>
      <c r="G60" t="s">
        <v>29</v>
      </c>
      <c r="H60" t="s">
        <v>33</v>
      </c>
      <c r="I60" t="s">
        <v>15</v>
      </c>
      <c r="J60" t="s">
        <v>16</v>
      </c>
    </row>
    <row r="61" spans="1:10">
      <c r="A61">
        <v>60</v>
      </c>
      <c r="B61" s="19">
        <v>46218</v>
      </c>
      <c r="C61" t="s">
        <v>39</v>
      </c>
      <c r="D61" t="s">
        <v>47</v>
      </c>
      <c r="E61" t="s">
        <v>54</v>
      </c>
      <c r="F61" s="20">
        <v>1162.33</v>
      </c>
      <c r="G61" t="s">
        <v>20</v>
      </c>
      <c r="H61" t="s">
        <v>33</v>
      </c>
      <c r="I61" t="s">
        <v>21</v>
      </c>
      <c r="J61" t="s">
        <v>22</v>
      </c>
    </row>
    <row r="62" spans="1:10">
      <c r="A62">
        <v>61</v>
      </c>
      <c r="B62" s="19">
        <v>46218</v>
      </c>
      <c r="C62" t="s">
        <v>39</v>
      </c>
      <c r="D62" t="s">
        <v>37</v>
      </c>
      <c r="E62" t="s">
        <v>55</v>
      </c>
      <c r="F62" s="20">
        <v>532.06</v>
      </c>
      <c r="G62" t="s">
        <v>20</v>
      </c>
      <c r="H62" t="s">
        <v>33</v>
      </c>
      <c r="I62" t="s">
        <v>15</v>
      </c>
      <c r="J62" t="s">
        <v>16</v>
      </c>
    </row>
    <row r="63" spans="1:10">
      <c r="A63">
        <v>62</v>
      </c>
      <c r="B63" s="19">
        <v>46218</v>
      </c>
      <c r="C63" t="s">
        <v>39</v>
      </c>
      <c r="D63" t="s">
        <v>27</v>
      </c>
      <c r="E63" t="s">
        <v>28</v>
      </c>
      <c r="F63" s="20">
        <v>2121.86</v>
      </c>
      <c r="G63" t="s">
        <v>32</v>
      </c>
      <c r="H63" t="s">
        <v>35</v>
      </c>
      <c r="I63" t="s">
        <v>15</v>
      </c>
      <c r="J63" t="s">
        <v>16</v>
      </c>
    </row>
    <row r="64" spans="1:10">
      <c r="A64">
        <v>63</v>
      </c>
      <c r="B64" s="19">
        <v>46219</v>
      </c>
      <c r="C64" t="s">
        <v>23</v>
      </c>
      <c r="D64" t="s">
        <v>11</v>
      </c>
      <c r="E64" t="s">
        <v>62</v>
      </c>
      <c r="F64" s="20">
        <v>470.31</v>
      </c>
      <c r="G64" t="s">
        <v>29</v>
      </c>
      <c r="H64" t="s">
        <v>35</v>
      </c>
      <c r="I64" t="s">
        <v>21</v>
      </c>
      <c r="J64" t="s">
        <v>16</v>
      </c>
    </row>
    <row r="65" spans="1:10">
      <c r="A65">
        <v>64</v>
      </c>
      <c r="B65" s="19">
        <v>46220</v>
      </c>
      <c r="C65" t="s">
        <v>10</v>
      </c>
      <c r="D65" t="s">
        <v>47</v>
      </c>
      <c r="E65" t="s">
        <v>54</v>
      </c>
      <c r="F65" s="20">
        <v>1121.62</v>
      </c>
      <c r="G65" t="s">
        <v>25</v>
      </c>
      <c r="H65" t="s">
        <v>41</v>
      </c>
      <c r="I65" t="s">
        <v>21</v>
      </c>
      <c r="J65" t="s">
        <v>16</v>
      </c>
    </row>
    <row r="66" spans="1:10">
      <c r="A66">
        <v>65</v>
      </c>
      <c r="B66" s="19">
        <v>46224</v>
      </c>
      <c r="C66" t="s">
        <v>59</v>
      </c>
      <c r="D66" t="s">
        <v>11</v>
      </c>
      <c r="E66" t="s">
        <v>12</v>
      </c>
      <c r="F66" s="20">
        <v>895.03</v>
      </c>
      <c r="G66" t="s">
        <v>20</v>
      </c>
      <c r="H66" t="s">
        <v>26</v>
      </c>
      <c r="I66" t="s">
        <v>15</v>
      </c>
      <c r="J66" t="s">
        <v>16</v>
      </c>
    </row>
    <row r="67" spans="1:10">
      <c r="A67">
        <v>66</v>
      </c>
      <c r="B67" s="19">
        <v>46226</v>
      </c>
      <c r="C67" t="s">
        <v>23</v>
      </c>
      <c r="D67" t="s">
        <v>18</v>
      </c>
      <c r="E67" t="s">
        <v>19</v>
      </c>
      <c r="F67" s="20">
        <v>2217.47</v>
      </c>
      <c r="G67" t="s">
        <v>29</v>
      </c>
      <c r="H67" t="s">
        <v>26</v>
      </c>
      <c r="I67" t="s">
        <v>21</v>
      </c>
      <c r="J67" t="s">
        <v>16</v>
      </c>
    </row>
    <row r="68" spans="1:10">
      <c r="A68">
        <v>67</v>
      </c>
      <c r="B68" s="19">
        <v>46226</v>
      </c>
      <c r="C68" t="s">
        <v>23</v>
      </c>
      <c r="D68" t="s">
        <v>37</v>
      </c>
      <c r="E68" t="s">
        <v>55</v>
      </c>
      <c r="F68" s="20">
        <v>744.78</v>
      </c>
      <c r="G68" t="s">
        <v>20</v>
      </c>
      <c r="H68" t="s">
        <v>26</v>
      </c>
      <c r="I68" t="s">
        <v>21</v>
      </c>
      <c r="J68" t="s">
        <v>22</v>
      </c>
    </row>
    <row r="69" spans="1:10">
      <c r="A69">
        <v>68</v>
      </c>
      <c r="B69" s="19">
        <v>46227</v>
      </c>
      <c r="C69" t="s">
        <v>10</v>
      </c>
      <c r="D69" t="s">
        <v>18</v>
      </c>
      <c r="E69" t="s">
        <v>24</v>
      </c>
      <c r="F69" s="20">
        <v>454.56</v>
      </c>
      <c r="G69" t="s">
        <v>25</v>
      </c>
      <c r="H69" t="s">
        <v>35</v>
      </c>
      <c r="I69" t="s">
        <v>21</v>
      </c>
      <c r="J69" t="s">
        <v>16</v>
      </c>
    </row>
    <row r="70" spans="1:10">
      <c r="A70">
        <v>69</v>
      </c>
      <c r="B70" s="19">
        <v>46227</v>
      </c>
      <c r="C70" t="s">
        <v>10</v>
      </c>
      <c r="D70" t="s">
        <v>11</v>
      </c>
      <c r="E70" t="s">
        <v>60</v>
      </c>
      <c r="F70" s="20">
        <v>628.23</v>
      </c>
      <c r="G70" t="s">
        <v>25</v>
      </c>
      <c r="H70" t="s">
        <v>14</v>
      </c>
      <c r="I70" t="s">
        <v>15</v>
      </c>
      <c r="J70" t="s">
        <v>16</v>
      </c>
    </row>
    <row r="71" spans="1:10">
      <c r="A71">
        <v>70</v>
      </c>
      <c r="B71" s="19">
        <v>46228</v>
      </c>
      <c r="C71" t="s">
        <v>46</v>
      </c>
      <c r="D71" t="s">
        <v>11</v>
      </c>
      <c r="E71" t="s">
        <v>60</v>
      </c>
      <c r="F71" s="20">
        <v>940.54</v>
      </c>
      <c r="G71" t="s">
        <v>29</v>
      </c>
      <c r="H71" t="s">
        <v>35</v>
      </c>
      <c r="I71" t="s">
        <v>15</v>
      </c>
      <c r="J71" t="s">
        <v>16</v>
      </c>
    </row>
    <row r="72" spans="1:10">
      <c r="A72">
        <v>71</v>
      </c>
      <c r="B72" s="19">
        <v>46228</v>
      </c>
      <c r="C72" t="s">
        <v>46</v>
      </c>
      <c r="D72" t="s">
        <v>50</v>
      </c>
      <c r="E72" t="s">
        <v>61</v>
      </c>
      <c r="F72" s="20">
        <v>3140.73</v>
      </c>
      <c r="G72" t="s">
        <v>25</v>
      </c>
      <c r="H72" t="s">
        <v>33</v>
      </c>
      <c r="I72" t="s">
        <v>21</v>
      </c>
      <c r="J72" t="s">
        <v>16</v>
      </c>
    </row>
    <row r="73" spans="1:10">
      <c r="A73">
        <v>72</v>
      </c>
      <c r="B73" s="19">
        <v>46229</v>
      </c>
      <c r="C73" t="s">
        <v>36</v>
      </c>
      <c r="D73" t="s">
        <v>11</v>
      </c>
      <c r="E73" t="s">
        <v>65</v>
      </c>
      <c r="F73" s="20">
        <v>517.87</v>
      </c>
      <c r="G73" t="s">
        <v>13</v>
      </c>
      <c r="H73" t="s">
        <v>41</v>
      </c>
      <c r="I73" t="s">
        <v>15</v>
      </c>
      <c r="J73" t="s">
        <v>16</v>
      </c>
    </row>
    <row r="74" spans="1:10">
      <c r="A74">
        <v>73</v>
      </c>
      <c r="B74" s="19">
        <v>46229</v>
      </c>
      <c r="C74" t="s">
        <v>36</v>
      </c>
      <c r="D74" t="s">
        <v>42</v>
      </c>
      <c r="E74" t="s">
        <v>43</v>
      </c>
      <c r="F74" s="20">
        <v>2119.46</v>
      </c>
      <c r="G74" t="s">
        <v>13</v>
      </c>
      <c r="H74" t="s">
        <v>14</v>
      </c>
      <c r="I74" t="s">
        <v>21</v>
      </c>
      <c r="J74" t="s">
        <v>16</v>
      </c>
    </row>
    <row r="75" spans="1:10">
      <c r="A75">
        <v>74</v>
      </c>
      <c r="B75" s="19">
        <v>46229</v>
      </c>
      <c r="C75" t="s">
        <v>36</v>
      </c>
      <c r="D75" t="s">
        <v>47</v>
      </c>
      <c r="E75" t="s">
        <v>64</v>
      </c>
      <c r="F75" s="20">
        <v>1229.19</v>
      </c>
      <c r="G75" t="s">
        <v>20</v>
      </c>
      <c r="H75" t="s">
        <v>41</v>
      </c>
      <c r="I75" t="s">
        <v>15</v>
      </c>
      <c r="J75" t="s">
        <v>16</v>
      </c>
    </row>
    <row r="76" spans="1:10">
      <c r="A76">
        <v>75</v>
      </c>
      <c r="B76" s="19">
        <v>46230</v>
      </c>
      <c r="C76" t="s">
        <v>17</v>
      </c>
      <c r="D76" t="s">
        <v>11</v>
      </c>
      <c r="E76" t="s">
        <v>65</v>
      </c>
      <c r="F76" s="20">
        <v>906.04</v>
      </c>
      <c r="G76" t="s">
        <v>32</v>
      </c>
      <c r="H76" t="s">
        <v>41</v>
      </c>
      <c r="I76" t="s">
        <v>21</v>
      </c>
      <c r="J76" t="s">
        <v>22</v>
      </c>
    </row>
    <row r="77" spans="1:10">
      <c r="A77">
        <v>76</v>
      </c>
      <c r="B77" s="19">
        <v>46230</v>
      </c>
      <c r="C77" t="s">
        <v>17</v>
      </c>
      <c r="D77" t="s">
        <v>27</v>
      </c>
      <c r="E77" t="s">
        <v>40</v>
      </c>
      <c r="F77" s="20">
        <v>2384.7</v>
      </c>
      <c r="G77" t="s">
        <v>25</v>
      </c>
      <c r="H77" t="s">
        <v>26</v>
      </c>
      <c r="I77" t="s">
        <v>21</v>
      </c>
      <c r="J77" t="s">
        <v>16</v>
      </c>
    </row>
    <row r="78" spans="1:10">
      <c r="A78">
        <v>77</v>
      </c>
      <c r="B78" s="19">
        <v>46231</v>
      </c>
      <c r="C78" t="s">
        <v>59</v>
      </c>
      <c r="D78" t="s">
        <v>18</v>
      </c>
      <c r="E78" t="s">
        <v>19</v>
      </c>
      <c r="F78" s="20">
        <v>129.97</v>
      </c>
      <c r="G78" t="s">
        <v>32</v>
      </c>
      <c r="H78" t="s">
        <v>14</v>
      </c>
      <c r="I78" t="s">
        <v>21</v>
      </c>
      <c r="J78" t="s">
        <v>16</v>
      </c>
    </row>
    <row r="79" spans="1:10">
      <c r="A79">
        <v>78</v>
      </c>
      <c r="B79" s="19">
        <v>46238</v>
      </c>
      <c r="C79" t="s">
        <v>59</v>
      </c>
      <c r="D79" t="s">
        <v>18</v>
      </c>
      <c r="E79" t="s">
        <v>19</v>
      </c>
      <c r="F79" s="20">
        <v>685.02</v>
      </c>
      <c r="G79" t="s">
        <v>20</v>
      </c>
      <c r="H79" t="s">
        <v>14</v>
      </c>
      <c r="I79" t="s">
        <v>21</v>
      </c>
      <c r="J79" t="s">
        <v>16</v>
      </c>
    </row>
    <row r="80" spans="1:10">
      <c r="A80">
        <v>79</v>
      </c>
      <c r="B80" s="19">
        <v>46239</v>
      </c>
      <c r="C80" t="s">
        <v>39</v>
      </c>
      <c r="D80" t="s">
        <v>30</v>
      </c>
      <c r="E80" t="s">
        <v>31</v>
      </c>
      <c r="F80" s="20">
        <v>2521.24</v>
      </c>
      <c r="G80" t="s">
        <v>29</v>
      </c>
      <c r="H80" t="s">
        <v>41</v>
      </c>
      <c r="I80" t="s">
        <v>15</v>
      </c>
      <c r="J80" t="s">
        <v>22</v>
      </c>
    </row>
    <row r="81" spans="1:10">
      <c r="A81">
        <v>80</v>
      </c>
      <c r="B81" s="19">
        <v>46241</v>
      </c>
      <c r="C81" t="s">
        <v>10</v>
      </c>
      <c r="D81" t="s">
        <v>42</v>
      </c>
      <c r="E81" t="s">
        <v>43</v>
      </c>
      <c r="F81" s="20">
        <v>933.67</v>
      </c>
      <c r="G81" t="s">
        <v>29</v>
      </c>
      <c r="H81" t="s">
        <v>35</v>
      </c>
      <c r="I81" t="s">
        <v>21</v>
      </c>
      <c r="J81" t="s">
        <v>16</v>
      </c>
    </row>
    <row r="82" spans="1:10">
      <c r="A82">
        <v>81</v>
      </c>
      <c r="B82" s="19">
        <v>46241</v>
      </c>
      <c r="C82" t="s">
        <v>10</v>
      </c>
      <c r="D82" t="s">
        <v>50</v>
      </c>
      <c r="E82" t="s">
        <v>51</v>
      </c>
      <c r="F82" s="20">
        <v>3108.28</v>
      </c>
      <c r="G82" t="s">
        <v>13</v>
      </c>
      <c r="H82" t="s">
        <v>26</v>
      </c>
      <c r="I82" t="s">
        <v>21</v>
      </c>
      <c r="J82" t="s">
        <v>16</v>
      </c>
    </row>
    <row r="83" spans="1:10">
      <c r="A83">
        <v>82</v>
      </c>
      <c r="B83" s="19">
        <v>46242</v>
      </c>
      <c r="C83" t="s">
        <v>46</v>
      </c>
      <c r="D83" t="s">
        <v>30</v>
      </c>
      <c r="E83" t="s">
        <v>31</v>
      </c>
      <c r="F83" s="20">
        <v>2734.66</v>
      </c>
      <c r="G83" t="s">
        <v>32</v>
      </c>
      <c r="H83" t="s">
        <v>35</v>
      </c>
      <c r="I83" t="s">
        <v>21</v>
      </c>
      <c r="J83" t="s">
        <v>22</v>
      </c>
    </row>
    <row r="84" spans="1:10">
      <c r="A84">
        <v>83</v>
      </c>
      <c r="B84" s="19">
        <v>46243</v>
      </c>
      <c r="C84" t="s">
        <v>36</v>
      </c>
      <c r="D84" t="s">
        <v>18</v>
      </c>
      <c r="E84" t="s">
        <v>19</v>
      </c>
      <c r="F84" s="20">
        <v>516.5</v>
      </c>
      <c r="G84" t="s">
        <v>13</v>
      </c>
      <c r="H84" t="s">
        <v>33</v>
      </c>
      <c r="I84" t="s">
        <v>21</v>
      </c>
      <c r="J84" t="s">
        <v>22</v>
      </c>
    </row>
    <row r="85" spans="1:10">
      <c r="A85">
        <v>84</v>
      </c>
      <c r="B85" s="19">
        <v>46245</v>
      </c>
      <c r="C85" t="s">
        <v>59</v>
      </c>
      <c r="D85" t="s">
        <v>11</v>
      </c>
      <c r="E85" t="s">
        <v>34</v>
      </c>
      <c r="F85" s="20">
        <v>246.08</v>
      </c>
      <c r="G85" t="s">
        <v>25</v>
      </c>
      <c r="H85" t="s">
        <v>33</v>
      </c>
      <c r="I85" t="s">
        <v>15</v>
      </c>
      <c r="J85" t="s">
        <v>22</v>
      </c>
    </row>
    <row r="86" spans="1:10">
      <c r="A86">
        <v>85</v>
      </c>
      <c r="B86" s="19">
        <v>46245</v>
      </c>
      <c r="C86" t="s">
        <v>59</v>
      </c>
      <c r="D86" t="s">
        <v>27</v>
      </c>
      <c r="E86" t="s">
        <v>40</v>
      </c>
      <c r="F86" s="20">
        <v>561.67</v>
      </c>
      <c r="G86" t="s">
        <v>13</v>
      </c>
      <c r="H86" t="s">
        <v>33</v>
      </c>
      <c r="I86" t="s">
        <v>15</v>
      </c>
      <c r="J86" t="s">
        <v>22</v>
      </c>
    </row>
    <row r="87" spans="1:10">
      <c r="A87">
        <v>86</v>
      </c>
      <c r="B87" s="19">
        <v>46248</v>
      </c>
      <c r="C87" t="s">
        <v>10</v>
      </c>
      <c r="D87" t="s">
        <v>18</v>
      </c>
      <c r="E87" t="s">
        <v>44</v>
      </c>
      <c r="F87" s="20">
        <v>1112.13</v>
      </c>
      <c r="G87" t="s">
        <v>32</v>
      </c>
      <c r="H87" t="s">
        <v>33</v>
      </c>
      <c r="I87" t="s">
        <v>15</v>
      </c>
      <c r="J87" t="s">
        <v>22</v>
      </c>
    </row>
    <row r="88" spans="1:10">
      <c r="A88">
        <v>87</v>
      </c>
      <c r="B88" s="19">
        <v>46249</v>
      </c>
      <c r="C88" t="s">
        <v>46</v>
      </c>
      <c r="D88" t="s">
        <v>11</v>
      </c>
      <c r="E88" t="s">
        <v>60</v>
      </c>
      <c r="F88" s="20">
        <v>1060.32</v>
      </c>
      <c r="G88" t="s">
        <v>20</v>
      </c>
      <c r="H88" t="s">
        <v>33</v>
      </c>
      <c r="I88" t="s">
        <v>21</v>
      </c>
      <c r="J88" t="s">
        <v>22</v>
      </c>
    </row>
    <row r="89" spans="1:10">
      <c r="A89">
        <v>88</v>
      </c>
      <c r="B89" s="19">
        <v>46249</v>
      </c>
      <c r="C89" t="s">
        <v>46</v>
      </c>
      <c r="D89" t="s">
        <v>27</v>
      </c>
      <c r="E89" t="s">
        <v>40</v>
      </c>
      <c r="F89" s="20">
        <v>759.7</v>
      </c>
      <c r="G89" t="s">
        <v>20</v>
      </c>
      <c r="H89" t="s">
        <v>14</v>
      </c>
      <c r="I89" t="s">
        <v>15</v>
      </c>
      <c r="J89" t="s">
        <v>16</v>
      </c>
    </row>
    <row r="90" spans="1:10">
      <c r="A90">
        <v>89</v>
      </c>
      <c r="B90" s="19">
        <v>46251</v>
      </c>
      <c r="C90" t="s">
        <v>17</v>
      </c>
      <c r="D90" t="s">
        <v>42</v>
      </c>
      <c r="E90" t="s">
        <v>66</v>
      </c>
      <c r="F90" s="20">
        <v>3035.92</v>
      </c>
      <c r="G90" t="s">
        <v>20</v>
      </c>
      <c r="H90" t="s">
        <v>33</v>
      </c>
      <c r="I90" t="s">
        <v>15</v>
      </c>
      <c r="J90" t="s">
        <v>16</v>
      </c>
    </row>
    <row r="91" spans="1:10">
      <c r="A91">
        <v>90</v>
      </c>
      <c r="B91" s="19">
        <v>46253</v>
      </c>
      <c r="C91" t="s">
        <v>39</v>
      </c>
      <c r="D91" t="s">
        <v>42</v>
      </c>
      <c r="E91" t="s">
        <v>67</v>
      </c>
      <c r="F91" s="20">
        <v>4424.87</v>
      </c>
      <c r="G91" t="s">
        <v>13</v>
      </c>
      <c r="H91" t="s">
        <v>26</v>
      </c>
      <c r="I91" t="s">
        <v>21</v>
      </c>
      <c r="J91" t="s">
        <v>22</v>
      </c>
    </row>
    <row r="92" spans="1:10">
      <c r="A92">
        <v>91</v>
      </c>
      <c r="B92" s="19">
        <v>46254</v>
      </c>
      <c r="C92" t="s">
        <v>23</v>
      </c>
      <c r="D92" t="s">
        <v>47</v>
      </c>
      <c r="E92" t="s">
        <v>64</v>
      </c>
      <c r="F92" s="20">
        <v>313.97</v>
      </c>
      <c r="G92" t="s">
        <v>20</v>
      </c>
      <c r="H92" t="s">
        <v>35</v>
      </c>
      <c r="I92" t="s">
        <v>15</v>
      </c>
      <c r="J92" t="s">
        <v>22</v>
      </c>
    </row>
    <row r="93" spans="1:10">
      <c r="A93">
        <v>92</v>
      </c>
      <c r="B93" s="19">
        <v>46255</v>
      </c>
      <c r="C93" t="s">
        <v>10</v>
      </c>
      <c r="D93" t="s">
        <v>11</v>
      </c>
      <c r="E93" t="s">
        <v>12</v>
      </c>
      <c r="F93" s="20">
        <v>883.65</v>
      </c>
      <c r="G93" t="s">
        <v>13</v>
      </c>
      <c r="H93" t="s">
        <v>35</v>
      </c>
      <c r="I93" t="s">
        <v>15</v>
      </c>
      <c r="J93" t="s">
        <v>16</v>
      </c>
    </row>
    <row r="94" spans="1:10">
      <c r="A94">
        <v>93</v>
      </c>
      <c r="B94" s="19">
        <v>46257</v>
      </c>
      <c r="C94" t="s">
        <v>36</v>
      </c>
      <c r="D94" t="s">
        <v>11</v>
      </c>
      <c r="E94" t="s">
        <v>34</v>
      </c>
      <c r="F94" s="20">
        <v>197.98</v>
      </c>
      <c r="G94" t="s">
        <v>29</v>
      </c>
      <c r="H94" t="s">
        <v>26</v>
      </c>
      <c r="I94" t="s">
        <v>15</v>
      </c>
      <c r="J94" t="s">
        <v>16</v>
      </c>
    </row>
    <row r="95" spans="1:10">
      <c r="A95">
        <v>94</v>
      </c>
      <c r="B95" s="19">
        <v>46258</v>
      </c>
      <c r="C95" t="s">
        <v>17</v>
      </c>
      <c r="D95" t="s">
        <v>37</v>
      </c>
      <c r="E95" t="s">
        <v>55</v>
      </c>
      <c r="F95" s="20">
        <v>525.71</v>
      </c>
      <c r="G95" t="s">
        <v>32</v>
      </c>
      <c r="H95" t="s">
        <v>41</v>
      </c>
      <c r="I95" t="s">
        <v>15</v>
      </c>
      <c r="J95" t="s">
        <v>22</v>
      </c>
    </row>
    <row r="96" spans="1:10">
      <c r="A96">
        <v>95</v>
      </c>
      <c r="B96" s="19">
        <v>46258</v>
      </c>
      <c r="C96" t="s">
        <v>17</v>
      </c>
      <c r="D96" t="s">
        <v>27</v>
      </c>
      <c r="E96" t="s">
        <v>40</v>
      </c>
      <c r="F96" s="20">
        <v>228.72</v>
      </c>
      <c r="G96" t="s">
        <v>29</v>
      </c>
      <c r="H96" t="s">
        <v>41</v>
      </c>
      <c r="I96" t="s">
        <v>15</v>
      </c>
      <c r="J96" t="s">
        <v>22</v>
      </c>
    </row>
    <row r="97" spans="1:10">
      <c r="A97">
        <v>96</v>
      </c>
      <c r="B97" s="19">
        <v>46261</v>
      </c>
      <c r="C97" t="s">
        <v>23</v>
      </c>
      <c r="D97" t="s">
        <v>27</v>
      </c>
      <c r="E97" t="s">
        <v>40</v>
      </c>
      <c r="F97" s="20">
        <v>1257.08</v>
      </c>
      <c r="G97" t="s">
        <v>32</v>
      </c>
      <c r="H97" t="s">
        <v>33</v>
      </c>
      <c r="I97" t="s">
        <v>21</v>
      </c>
      <c r="J97" t="s">
        <v>16</v>
      </c>
    </row>
    <row r="98" spans="1:10">
      <c r="A98">
        <v>97</v>
      </c>
      <c r="B98" s="19">
        <v>46261</v>
      </c>
      <c r="C98" t="s">
        <v>23</v>
      </c>
      <c r="D98" t="s">
        <v>11</v>
      </c>
      <c r="E98" t="s">
        <v>12</v>
      </c>
      <c r="F98" s="20">
        <v>560.78</v>
      </c>
      <c r="G98" t="s">
        <v>25</v>
      </c>
      <c r="H98" t="s">
        <v>41</v>
      </c>
      <c r="I98" t="s">
        <v>15</v>
      </c>
      <c r="J98" t="s">
        <v>16</v>
      </c>
    </row>
    <row r="99" spans="1:10">
      <c r="A99">
        <v>98</v>
      </c>
      <c r="B99" s="19">
        <v>46262</v>
      </c>
      <c r="C99" t="s">
        <v>10</v>
      </c>
      <c r="D99" t="s">
        <v>11</v>
      </c>
      <c r="E99" t="s">
        <v>34</v>
      </c>
      <c r="F99" s="20">
        <v>332.07</v>
      </c>
      <c r="G99" t="s">
        <v>13</v>
      </c>
      <c r="H99" t="s">
        <v>35</v>
      </c>
      <c r="I99" t="s">
        <v>15</v>
      </c>
      <c r="J99" t="s">
        <v>22</v>
      </c>
    </row>
    <row r="100" spans="1:10">
      <c r="A100">
        <v>99</v>
      </c>
      <c r="B100" s="19">
        <v>46263</v>
      </c>
      <c r="C100" t="s">
        <v>46</v>
      </c>
      <c r="D100" t="s">
        <v>37</v>
      </c>
      <c r="E100" t="s">
        <v>55</v>
      </c>
      <c r="F100" s="20">
        <v>707.78</v>
      </c>
      <c r="G100" t="s">
        <v>32</v>
      </c>
      <c r="H100" t="s">
        <v>26</v>
      </c>
      <c r="I100" t="s">
        <v>21</v>
      </c>
      <c r="J100" t="s">
        <v>16</v>
      </c>
    </row>
    <row r="101" spans="1:10">
      <c r="A101">
        <v>100</v>
      </c>
      <c r="B101" s="19">
        <v>46263</v>
      </c>
      <c r="C101" t="s">
        <v>46</v>
      </c>
      <c r="D101" t="s">
        <v>18</v>
      </c>
      <c r="E101" t="s">
        <v>44</v>
      </c>
      <c r="F101" s="20">
        <v>2064.18</v>
      </c>
      <c r="G101" t="s">
        <v>29</v>
      </c>
      <c r="H101" t="s">
        <v>33</v>
      </c>
      <c r="I101" t="s">
        <v>15</v>
      </c>
      <c r="J101" t="s">
        <v>16</v>
      </c>
    </row>
  </sheetData>
  <autoFilter xmlns:etc="http://www.wps.cn/officeDocument/2017/etCustomData" ref="A1:J1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topLeftCell="B1" workbookViewId="0">
      <selection activeCell="E19" sqref="E19"/>
    </sheetView>
  </sheetViews>
  <sheetFormatPr defaultColWidth="8.88888888888889" defaultRowHeight="14.4"/>
  <cols>
    <col min="1" max="1" width="12" customWidth="1"/>
    <col min="2" max="2" width="14" style="13" customWidth="1"/>
    <col min="3" max="3" width="14" customWidth="1"/>
    <col min="4" max="4" width="16" customWidth="1"/>
    <col min="5" max="5" width="20" customWidth="1"/>
    <col min="6" max="6" width="15" style="14" customWidth="1"/>
    <col min="7" max="7" width="18" customWidth="1"/>
    <col min="8" max="8" width="15" customWidth="1"/>
    <col min="9" max="10" width="12" customWidth="1"/>
    <col min="12" max="12" width="15.2222222222222" customWidth="1"/>
    <col min="13" max="13" width="13.7777777777778" customWidth="1"/>
    <col min="15" max="15" width="19.8888888888889" customWidth="1"/>
  </cols>
  <sheetData>
    <row r="1" spans="1:15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7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</row>
    <row r="2" spans="1:15">
      <c r="A2">
        <v>1</v>
      </c>
      <c r="B2" s="13">
        <v>46143</v>
      </c>
      <c r="C2" t="s">
        <v>10</v>
      </c>
      <c r="D2" t="s">
        <v>11</v>
      </c>
      <c r="E2" t="s">
        <v>12</v>
      </c>
      <c r="F2" s="14">
        <v>290.15</v>
      </c>
      <c r="G2" t="s">
        <v>13</v>
      </c>
      <c r="H2" t="s">
        <v>14</v>
      </c>
      <c r="I2" t="s">
        <v>15</v>
      </c>
      <c r="J2" t="s">
        <v>16</v>
      </c>
      <c r="K2" s="18" t="str">
        <f t="shared" ref="K2:K33" si="0">TEXT(B2,"MMMM")</f>
        <v>May</v>
      </c>
      <c r="L2" s="18">
        <f t="shared" ref="L2:L33" si="1">MONTH((B2))</f>
        <v>5</v>
      </c>
      <c r="M2" s="18" t="str">
        <f t="shared" ref="M2:M33" si="2">IF(F2&gt;=3000,"high",IF(F2&gt;=1000,"medium","low"))</f>
        <v>low</v>
      </c>
      <c r="N2" s="18" t="str">
        <f t="shared" ref="N2:N33" si="3">IF(WEEKDAY(B2,2)&gt;5,"weekend","weekday")</f>
        <v>weekday</v>
      </c>
      <c r="O2" s="18">
        <f t="shared" ref="O2:O65" si="4">ROW()-1</f>
        <v>1</v>
      </c>
    </row>
    <row r="3" spans="1:15">
      <c r="A3">
        <v>2</v>
      </c>
      <c r="B3" s="13">
        <v>46146</v>
      </c>
      <c r="C3" t="s">
        <v>17</v>
      </c>
      <c r="D3" t="s">
        <v>18</v>
      </c>
      <c r="E3" t="s">
        <v>19</v>
      </c>
      <c r="F3" s="14">
        <v>495.51</v>
      </c>
      <c r="G3" t="s">
        <v>20</v>
      </c>
      <c r="H3" t="s">
        <v>14</v>
      </c>
      <c r="I3" t="s">
        <v>21</v>
      </c>
      <c r="J3" t="s">
        <v>22</v>
      </c>
      <c r="K3" s="18" t="str">
        <f t="shared" si="0"/>
        <v>May</v>
      </c>
      <c r="L3" s="18">
        <f t="shared" si="1"/>
        <v>5</v>
      </c>
      <c r="M3" s="18" t="str">
        <f t="shared" si="2"/>
        <v>low</v>
      </c>
      <c r="N3" s="18" t="str">
        <f t="shared" si="3"/>
        <v>weekday</v>
      </c>
      <c r="O3" s="18">
        <f t="shared" si="4"/>
        <v>2</v>
      </c>
    </row>
    <row r="4" spans="1:15">
      <c r="A4">
        <v>3</v>
      </c>
      <c r="B4" s="13">
        <v>46149</v>
      </c>
      <c r="C4" t="s">
        <v>23</v>
      </c>
      <c r="D4" t="s">
        <v>18</v>
      </c>
      <c r="E4" t="s">
        <v>24</v>
      </c>
      <c r="F4" s="14">
        <v>2302.5</v>
      </c>
      <c r="G4" t="s">
        <v>25</v>
      </c>
      <c r="H4" t="s">
        <v>26</v>
      </c>
      <c r="I4" t="s">
        <v>15</v>
      </c>
      <c r="J4" t="s">
        <v>16</v>
      </c>
      <c r="K4" s="18" t="str">
        <f t="shared" si="0"/>
        <v>May</v>
      </c>
      <c r="L4" s="18">
        <f t="shared" si="1"/>
        <v>5</v>
      </c>
      <c r="M4" s="18" t="str">
        <f t="shared" si="2"/>
        <v>medium</v>
      </c>
      <c r="N4" s="18" t="str">
        <f t="shared" si="3"/>
        <v>weekday</v>
      </c>
      <c r="O4" s="18">
        <f t="shared" si="4"/>
        <v>3</v>
      </c>
    </row>
    <row r="5" spans="1:15">
      <c r="A5">
        <v>4</v>
      </c>
      <c r="B5" s="13">
        <v>46153</v>
      </c>
      <c r="C5" t="s">
        <v>17</v>
      </c>
      <c r="D5" t="s">
        <v>27</v>
      </c>
      <c r="E5" t="s">
        <v>28</v>
      </c>
      <c r="F5" s="14">
        <v>1202.37</v>
      </c>
      <c r="G5" t="s">
        <v>29</v>
      </c>
      <c r="H5" t="s">
        <v>14</v>
      </c>
      <c r="I5" t="s">
        <v>15</v>
      </c>
      <c r="J5" t="s">
        <v>22</v>
      </c>
      <c r="K5" s="18" t="str">
        <f t="shared" si="0"/>
        <v>May</v>
      </c>
      <c r="L5" s="18">
        <f t="shared" si="1"/>
        <v>5</v>
      </c>
      <c r="M5" s="18" t="str">
        <f t="shared" si="2"/>
        <v>medium</v>
      </c>
      <c r="N5" s="18" t="str">
        <f t="shared" si="3"/>
        <v>weekday</v>
      </c>
      <c r="O5" s="18">
        <f t="shared" si="4"/>
        <v>4</v>
      </c>
    </row>
    <row r="6" spans="1:15">
      <c r="A6">
        <v>5</v>
      </c>
      <c r="B6" s="13">
        <v>46156</v>
      </c>
      <c r="C6" t="s">
        <v>23</v>
      </c>
      <c r="D6" t="s">
        <v>30</v>
      </c>
      <c r="E6" t="s">
        <v>31</v>
      </c>
      <c r="F6" s="14">
        <v>2212.78</v>
      </c>
      <c r="G6" t="s">
        <v>32</v>
      </c>
      <c r="H6" t="s">
        <v>33</v>
      </c>
      <c r="I6" t="s">
        <v>15</v>
      </c>
      <c r="J6" t="s">
        <v>22</v>
      </c>
      <c r="K6" s="18" t="str">
        <f t="shared" si="0"/>
        <v>May</v>
      </c>
      <c r="L6" s="18">
        <f t="shared" si="1"/>
        <v>5</v>
      </c>
      <c r="M6" s="18" t="str">
        <f t="shared" si="2"/>
        <v>medium</v>
      </c>
      <c r="N6" s="18" t="str">
        <f t="shared" si="3"/>
        <v>weekday</v>
      </c>
      <c r="O6" s="18">
        <f t="shared" si="4"/>
        <v>5</v>
      </c>
    </row>
    <row r="7" spans="1:15">
      <c r="A7">
        <v>6</v>
      </c>
      <c r="B7" s="13">
        <v>46157</v>
      </c>
      <c r="C7" t="s">
        <v>10</v>
      </c>
      <c r="D7" t="s">
        <v>11</v>
      </c>
      <c r="E7" t="s">
        <v>34</v>
      </c>
      <c r="F7" s="14">
        <v>663.8</v>
      </c>
      <c r="G7" t="s">
        <v>32</v>
      </c>
      <c r="H7" t="s">
        <v>35</v>
      </c>
      <c r="I7" t="s">
        <v>15</v>
      </c>
      <c r="J7" t="s">
        <v>22</v>
      </c>
      <c r="K7" s="18" t="str">
        <f t="shared" si="0"/>
        <v>May</v>
      </c>
      <c r="L7" s="18">
        <f t="shared" si="1"/>
        <v>5</v>
      </c>
      <c r="M7" s="18" t="str">
        <f t="shared" si="2"/>
        <v>low</v>
      </c>
      <c r="N7" s="18" t="str">
        <f t="shared" si="3"/>
        <v>weekday</v>
      </c>
      <c r="O7" s="18">
        <f t="shared" si="4"/>
        <v>6</v>
      </c>
    </row>
    <row r="8" spans="1:15">
      <c r="A8">
        <v>7</v>
      </c>
      <c r="B8" s="13">
        <v>46159</v>
      </c>
      <c r="C8" t="s">
        <v>36</v>
      </c>
      <c r="D8" t="s">
        <v>37</v>
      </c>
      <c r="E8" t="s">
        <v>38</v>
      </c>
      <c r="F8" s="14">
        <v>323.49</v>
      </c>
      <c r="G8" t="s">
        <v>13</v>
      </c>
      <c r="H8" t="s">
        <v>14</v>
      </c>
      <c r="I8" t="s">
        <v>15</v>
      </c>
      <c r="J8" t="s">
        <v>16</v>
      </c>
      <c r="K8" s="18" t="str">
        <f t="shared" si="0"/>
        <v>May</v>
      </c>
      <c r="L8" s="18">
        <f t="shared" si="1"/>
        <v>5</v>
      </c>
      <c r="M8" s="18" t="str">
        <f t="shared" si="2"/>
        <v>low</v>
      </c>
      <c r="N8" s="18" t="str">
        <f t="shared" si="3"/>
        <v>weekend</v>
      </c>
      <c r="O8" s="18">
        <f t="shared" si="4"/>
        <v>7</v>
      </c>
    </row>
    <row r="9" spans="1:15">
      <c r="A9">
        <v>8</v>
      </c>
      <c r="B9" s="13">
        <v>46162</v>
      </c>
      <c r="C9" t="s">
        <v>39</v>
      </c>
      <c r="D9" t="s">
        <v>27</v>
      </c>
      <c r="E9" t="s">
        <v>40</v>
      </c>
      <c r="F9" s="14">
        <v>396.41</v>
      </c>
      <c r="G9" t="s">
        <v>29</v>
      </c>
      <c r="H9" t="s">
        <v>41</v>
      </c>
      <c r="I9" t="s">
        <v>21</v>
      </c>
      <c r="J9" t="s">
        <v>22</v>
      </c>
      <c r="K9" s="18" t="str">
        <f t="shared" si="0"/>
        <v>May</v>
      </c>
      <c r="L9" s="18">
        <f t="shared" si="1"/>
        <v>5</v>
      </c>
      <c r="M9" s="18" t="str">
        <f t="shared" si="2"/>
        <v>low</v>
      </c>
      <c r="N9" s="18" t="str">
        <f t="shared" si="3"/>
        <v>weekday</v>
      </c>
      <c r="O9" s="18">
        <f t="shared" si="4"/>
        <v>8</v>
      </c>
    </row>
    <row r="10" spans="1:15">
      <c r="A10">
        <v>9</v>
      </c>
      <c r="B10" s="13">
        <v>46162</v>
      </c>
      <c r="C10" t="s">
        <v>39</v>
      </c>
      <c r="D10" t="s">
        <v>42</v>
      </c>
      <c r="E10" t="s">
        <v>43</v>
      </c>
      <c r="F10" s="14">
        <v>563.13</v>
      </c>
      <c r="G10" t="s">
        <v>20</v>
      </c>
      <c r="H10" t="s">
        <v>41</v>
      </c>
      <c r="I10" t="s">
        <v>21</v>
      </c>
      <c r="J10" t="s">
        <v>16</v>
      </c>
      <c r="K10" s="18" t="str">
        <f t="shared" si="0"/>
        <v>May</v>
      </c>
      <c r="L10" s="18">
        <f t="shared" si="1"/>
        <v>5</v>
      </c>
      <c r="M10" s="18" t="str">
        <f t="shared" si="2"/>
        <v>low</v>
      </c>
      <c r="N10" s="18" t="str">
        <f t="shared" si="3"/>
        <v>weekday</v>
      </c>
      <c r="O10" s="18">
        <f t="shared" si="4"/>
        <v>9</v>
      </c>
    </row>
    <row r="11" spans="1:15">
      <c r="A11">
        <v>10</v>
      </c>
      <c r="B11" s="13">
        <v>46163</v>
      </c>
      <c r="C11" t="s">
        <v>23</v>
      </c>
      <c r="D11" t="s">
        <v>18</v>
      </c>
      <c r="E11" t="s">
        <v>19</v>
      </c>
      <c r="F11" s="14">
        <v>711.37</v>
      </c>
      <c r="G11" t="s">
        <v>25</v>
      </c>
      <c r="H11" t="s">
        <v>26</v>
      </c>
      <c r="I11" t="s">
        <v>21</v>
      </c>
      <c r="J11" t="s">
        <v>16</v>
      </c>
      <c r="K11" s="18" t="str">
        <f t="shared" si="0"/>
        <v>May</v>
      </c>
      <c r="L11" s="18">
        <f t="shared" si="1"/>
        <v>5</v>
      </c>
      <c r="M11" s="18" t="str">
        <f t="shared" si="2"/>
        <v>low</v>
      </c>
      <c r="N11" s="18" t="str">
        <f t="shared" si="3"/>
        <v>weekday</v>
      </c>
      <c r="O11" s="18">
        <f t="shared" si="4"/>
        <v>10</v>
      </c>
    </row>
    <row r="12" spans="1:15">
      <c r="A12">
        <v>11</v>
      </c>
      <c r="B12" s="13">
        <v>46163</v>
      </c>
      <c r="C12" t="s">
        <v>23</v>
      </c>
      <c r="D12" t="s">
        <v>18</v>
      </c>
      <c r="E12" t="s">
        <v>44</v>
      </c>
      <c r="F12" s="14">
        <v>2386.85</v>
      </c>
      <c r="G12" t="s">
        <v>32</v>
      </c>
      <c r="H12" t="s">
        <v>35</v>
      </c>
      <c r="I12" t="s">
        <v>15</v>
      </c>
      <c r="J12" t="s">
        <v>16</v>
      </c>
      <c r="K12" s="18" t="str">
        <f t="shared" si="0"/>
        <v>May</v>
      </c>
      <c r="L12" s="18">
        <f t="shared" si="1"/>
        <v>5</v>
      </c>
      <c r="M12" s="18" t="str">
        <f t="shared" si="2"/>
        <v>medium</v>
      </c>
      <c r="N12" s="18" t="str">
        <f t="shared" si="3"/>
        <v>weekday</v>
      </c>
      <c r="O12" s="18">
        <f t="shared" si="4"/>
        <v>11</v>
      </c>
    </row>
    <row r="13" spans="1:15">
      <c r="A13">
        <v>12</v>
      </c>
      <c r="B13" s="13">
        <v>46163</v>
      </c>
      <c r="C13" t="s">
        <v>23</v>
      </c>
      <c r="D13" t="s">
        <v>18</v>
      </c>
      <c r="E13" t="s">
        <v>24</v>
      </c>
      <c r="F13" s="14">
        <v>1773.67</v>
      </c>
      <c r="G13" t="s">
        <v>25</v>
      </c>
      <c r="H13" t="s">
        <v>35</v>
      </c>
      <c r="I13" t="s">
        <v>15</v>
      </c>
      <c r="J13" t="s">
        <v>22</v>
      </c>
      <c r="K13" s="18" t="str">
        <f t="shared" si="0"/>
        <v>May</v>
      </c>
      <c r="L13" s="18">
        <f t="shared" si="1"/>
        <v>5</v>
      </c>
      <c r="M13" s="18" t="str">
        <f t="shared" si="2"/>
        <v>medium</v>
      </c>
      <c r="N13" s="18" t="str">
        <f t="shared" si="3"/>
        <v>weekday</v>
      </c>
      <c r="O13" s="18">
        <f t="shared" si="4"/>
        <v>12</v>
      </c>
    </row>
    <row r="14" spans="1:15">
      <c r="A14">
        <v>13</v>
      </c>
      <c r="B14" s="13">
        <v>46163</v>
      </c>
      <c r="C14" t="s">
        <v>23</v>
      </c>
      <c r="D14" t="s">
        <v>27</v>
      </c>
      <c r="E14" t="s">
        <v>45</v>
      </c>
      <c r="F14" s="14">
        <v>1700.78</v>
      </c>
      <c r="G14" t="s">
        <v>20</v>
      </c>
      <c r="H14" t="s">
        <v>41</v>
      </c>
      <c r="I14" t="s">
        <v>21</v>
      </c>
      <c r="J14" t="s">
        <v>22</v>
      </c>
      <c r="K14" s="18" t="str">
        <f t="shared" si="0"/>
        <v>May</v>
      </c>
      <c r="L14" s="18">
        <f t="shared" si="1"/>
        <v>5</v>
      </c>
      <c r="M14" s="18" t="str">
        <f t="shared" si="2"/>
        <v>medium</v>
      </c>
      <c r="N14" s="18" t="str">
        <f t="shared" si="3"/>
        <v>weekday</v>
      </c>
      <c r="O14" s="18">
        <f t="shared" si="4"/>
        <v>13</v>
      </c>
    </row>
    <row r="15" spans="1:15">
      <c r="A15">
        <v>14</v>
      </c>
      <c r="B15" s="13">
        <v>46165</v>
      </c>
      <c r="C15" t="s">
        <v>46</v>
      </c>
      <c r="D15" t="s">
        <v>18</v>
      </c>
      <c r="E15" t="s">
        <v>44</v>
      </c>
      <c r="F15" s="14">
        <v>1415.64</v>
      </c>
      <c r="G15" t="s">
        <v>13</v>
      </c>
      <c r="H15" t="s">
        <v>33</v>
      </c>
      <c r="I15" t="s">
        <v>15</v>
      </c>
      <c r="J15" t="s">
        <v>22</v>
      </c>
      <c r="K15" s="18" t="str">
        <f t="shared" si="0"/>
        <v>May</v>
      </c>
      <c r="L15" s="18">
        <f t="shared" si="1"/>
        <v>5</v>
      </c>
      <c r="M15" s="18" t="str">
        <f t="shared" si="2"/>
        <v>medium</v>
      </c>
      <c r="N15" s="18" t="str">
        <f t="shared" si="3"/>
        <v>weekend</v>
      </c>
      <c r="O15" s="18">
        <f t="shared" si="4"/>
        <v>14</v>
      </c>
    </row>
    <row r="16" spans="1:15">
      <c r="A16">
        <v>15</v>
      </c>
      <c r="B16" s="13">
        <v>46165</v>
      </c>
      <c r="C16" t="s">
        <v>46</v>
      </c>
      <c r="D16" t="s">
        <v>47</v>
      </c>
      <c r="E16" t="s">
        <v>48</v>
      </c>
      <c r="F16" s="14">
        <v>750.82</v>
      </c>
      <c r="G16" t="s">
        <v>25</v>
      </c>
      <c r="H16" t="s">
        <v>14</v>
      </c>
      <c r="I16" t="s">
        <v>21</v>
      </c>
      <c r="J16" t="s">
        <v>16</v>
      </c>
      <c r="K16" s="18" t="str">
        <f t="shared" si="0"/>
        <v>May</v>
      </c>
      <c r="L16" s="18">
        <f t="shared" si="1"/>
        <v>5</v>
      </c>
      <c r="M16" s="18" t="str">
        <f t="shared" si="2"/>
        <v>low</v>
      </c>
      <c r="N16" s="18" t="str">
        <f t="shared" si="3"/>
        <v>weekend</v>
      </c>
      <c r="O16" s="18">
        <f t="shared" si="4"/>
        <v>15</v>
      </c>
    </row>
    <row r="17" spans="1:15">
      <c r="A17">
        <v>16</v>
      </c>
      <c r="B17" s="13">
        <v>46166</v>
      </c>
      <c r="C17" t="s">
        <v>36</v>
      </c>
      <c r="D17" t="s">
        <v>47</v>
      </c>
      <c r="E17" t="s">
        <v>48</v>
      </c>
      <c r="F17" s="14">
        <v>449.73</v>
      </c>
      <c r="G17" t="s">
        <v>13</v>
      </c>
      <c r="H17" t="s">
        <v>33</v>
      </c>
      <c r="I17" t="s">
        <v>15</v>
      </c>
      <c r="J17" t="s">
        <v>16</v>
      </c>
      <c r="K17" s="18" t="str">
        <f t="shared" si="0"/>
        <v>May</v>
      </c>
      <c r="L17" s="18">
        <f t="shared" si="1"/>
        <v>5</v>
      </c>
      <c r="M17" s="18" t="str">
        <f t="shared" si="2"/>
        <v>low</v>
      </c>
      <c r="N17" s="18" t="str">
        <f t="shared" si="3"/>
        <v>weekend</v>
      </c>
      <c r="O17" s="18">
        <f t="shared" si="4"/>
        <v>16</v>
      </c>
    </row>
    <row r="18" spans="1:15">
      <c r="A18">
        <v>17</v>
      </c>
      <c r="B18" s="13">
        <v>46167</v>
      </c>
      <c r="C18" t="s">
        <v>17</v>
      </c>
      <c r="D18" t="s">
        <v>27</v>
      </c>
      <c r="E18" t="s">
        <v>49</v>
      </c>
      <c r="F18" s="14">
        <v>901.85</v>
      </c>
      <c r="G18" t="s">
        <v>25</v>
      </c>
      <c r="H18" t="s">
        <v>35</v>
      </c>
      <c r="I18" t="s">
        <v>21</v>
      </c>
      <c r="J18" t="s">
        <v>16</v>
      </c>
      <c r="K18" s="18" t="str">
        <f t="shared" si="0"/>
        <v>May</v>
      </c>
      <c r="L18" s="18">
        <f t="shared" si="1"/>
        <v>5</v>
      </c>
      <c r="M18" s="18" t="str">
        <f t="shared" si="2"/>
        <v>low</v>
      </c>
      <c r="N18" s="18" t="str">
        <f t="shared" si="3"/>
        <v>weekday</v>
      </c>
      <c r="O18" s="18">
        <f t="shared" si="4"/>
        <v>17</v>
      </c>
    </row>
    <row r="19" spans="1:15">
      <c r="A19">
        <v>18</v>
      </c>
      <c r="B19" s="13">
        <v>46169</v>
      </c>
      <c r="C19" t="s">
        <v>39</v>
      </c>
      <c r="D19" t="s">
        <v>50</v>
      </c>
      <c r="E19" t="s">
        <v>51</v>
      </c>
      <c r="F19" s="14">
        <v>1474.95</v>
      </c>
      <c r="G19" t="s">
        <v>20</v>
      </c>
      <c r="H19" t="s">
        <v>14</v>
      </c>
      <c r="I19" t="s">
        <v>21</v>
      </c>
      <c r="J19" t="s">
        <v>22</v>
      </c>
      <c r="K19" s="18" t="str">
        <f t="shared" si="0"/>
        <v>May</v>
      </c>
      <c r="L19" s="18">
        <f t="shared" si="1"/>
        <v>5</v>
      </c>
      <c r="M19" s="18" t="str">
        <f t="shared" si="2"/>
        <v>medium</v>
      </c>
      <c r="N19" s="18" t="str">
        <f t="shared" si="3"/>
        <v>weekday</v>
      </c>
      <c r="O19" s="18">
        <f t="shared" si="4"/>
        <v>18</v>
      </c>
    </row>
    <row r="20" spans="1:15">
      <c r="A20">
        <v>19</v>
      </c>
      <c r="B20" s="13">
        <v>46171</v>
      </c>
      <c r="C20" t="s">
        <v>10</v>
      </c>
      <c r="D20" t="s">
        <v>27</v>
      </c>
      <c r="E20" t="s">
        <v>49</v>
      </c>
      <c r="F20" s="14">
        <v>1114.01</v>
      </c>
      <c r="G20" t="s">
        <v>20</v>
      </c>
      <c r="H20" t="s">
        <v>26</v>
      </c>
      <c r="I20" t="s">
        <v>15</v>
      </c>
      <c r="J20" t="s">
        <v>16</v>
      </c>
      <c r="K20" s="18" t="str">
        <f t="shared" si="0"/>
        <v>May</v>
      </c>
      <c r="L20" s="18">
        <f t="shared" si="1"/>
        <v>5</v>
      </c>
      <c r="M20" s="18" t="str">
        <f t="shared" si="2"/>
        <v>medium</v>
      </c>
      <c r="N20" s="18" t="str">
        <f t="shared" si="3"/>
        <v>weekday</v>
      </c>
      <c r="O20" s="18">
        <f t="shared" si="4"/>
        <v>19</v>
      </c>
    </row>
    <row r="21" spans="1:15">
      <c r="A21">
        <v>20</v>
      </c>
      <c r="B21" s="13">
        <v>46171</v>
      </c>
      <c r="C21" t="s">
        <v>10</v>
      </c>
      <c r="D21" t="s">
        <v>11</v>
      </c>
      <c r="E21" t="s">
        <v>12</v>
      </c>
      <c r="F21" s="14">
        <v>910</v>
      </c>
      <c r="G21" t="s">
        <v>20</v>
      </c>
      <c r="H21" t="s">
        <v>26</v>
      </c>
      <c r="I21" t="s">
        <v>15</v>
      </c>
      <c r="J21" t="s">
        <v>16</v>
      </c>
      <c r="K21" s="18" t="str">
        <f t="shared" si="0"/>
        <v>May</v>
      </c>
      <c r="L21" s="18">
        <f t="shared" si="1"/>
        <v>5</v>
      </c>
      <c r="M21" s="18" t="str">
        <f t="shared" si="2"/>
        <v>low</v>
      </c>
      <c r="N21" s="18" t="str">
        <f t="shared" si="3"/>
        <v>weekday</v>
      </c>
      <c r="O21" s="18">
        <f t="shared" si="4"/>
        <v>20</v>
      </c>
    </row>
    <row r="22" spans="1:15">
      <c r="A22">
        <v>21</v>
      </c>
      <c r="B22" s="13">
        <v>46172</v>
      </c>
      <c r="C22" t="s">
        <v>46</v>
      </c>
      <c r="D22" t="s">
        <v>37</v>
      </c>
      <c r="E22" t="s">
        <v>38</v>
      </c>
      <c r="F22" s="14">
        <v>350.87</v>
      </c>
      <c r="G22" t="s">
        <v>13</v>
      </c>
      <c r="H22" t="s">
        <v>26</v>
      </c>
      <c r="I22" t="s">
        <v>21</v>
      </c>
      <c r="J22" t="s">
        <v>16</v>
      </c>
      <c r="K22" s="18" t="str">
        <f t="shared" si="0"/>
        <v>May</v>
      </c>
      <c r="L22" s="18">
        <f t="shared" si="1"/>
        <v>5</v>
      </c>
      <c r="M22" s="18" t="str">
        <f t="shared" si="2"/>
        <v>low</v>
      </c>
      <c r="N22" s="18" t="str">
        <f t="shared" si="3"/>
        <v>weekend</v>
      </c>
      <c r="O22" s="18">
        <f t="shared" si="4"/>
        <v>21</v>
      </c>
    </row>
    <row r="23" spans="1:15">
      <c r="A23">
        <v>22</v>
      </c>
      <c r="B23" s="13">
        <v>46173</v>
      </c>
      <c r="C23" t="s">
        <v>36</v>
      </c>
      <c r="D23" t="s">
        <v>42</v>
      </c>
      <c r="E23" t="s">
        <v>52</v>
      </c>
      <c r="F23" s="14">
        <v>3396.88</v>
      </c>
      <c r="G23" t="s">
        <v>25</v>
      </c>
      <c r="H23" t="s">
        <v>26</v>
      </c>
      <c r="I23" t="s">
        <v>21</v>
      </c>
      <c r="J23" t="s">
        <v>22</v>
      </c>
      <c r="K23" s="18" t="str">
        <f t="shared" si="0"/>
        <v>May</v>
      </c>
      <c r="L23" s="18">
        <f t="shared" si="1"/>
        <v>5</v>
      </c>
      <c r="M23" s="18" t="str">
        <f t="shared" si="2"/>
        <v>high</v>
      </c>
      <c r="N23" s="18" t="str">
        <f t="shared" si="3"/>
        <v>weekend</v>
      </c>
      <c r="O23" s="18">
        <f t="shared" si="4"/>
        <v>22</v>
      </c>
    </row>
    <row r="24" spans="1:15">
      <c r="A24">
        <v>23</v>
      </c>
      <c r="B24" s="13">
        <v>46174</v>
      </c>
      <c r="C24" t="s">
        <v>17</v>
      </c>
      <c r="D24" t="s">
        <v>47</v>
      </c>
      <c r="E24" t="s">
        <v>48</v>
      </c>
      <c r="F24" s="14">
        <v>1356.95</v>
      </c>
      <c r="G24" t="s">
        <v>29</v>
      </c>
      <c r="H24" t="s">
        <v>14</v>
      </c>
      <c r="I24" t="s">
        <v>15</v>
      </c>
      <c r="J24" t="s">
        <v>16</v>
      </c>
      <c r="K24" s="18" t="str">
        <f t="shared" si="0"/>
        <v>June</v>
      </c>
      <c r="L24" s="18">
        <f t="shared" si="1"/>
        <v>6</v>
      </c>
      <c r="M24" s="18" t="str">
        <f t="shared" si="2"/>
        <v>medium</v>
      </c>
      <c r="N24" s="18" t="str">
        <f t="shared" si="3"/>
        <v>weekday</v>
      </c>
      <c r="O24" s="18">
        <f t="shared" si="4"/>
        <v>23</v>
      </c>
    </row>
    <row r="25" spans="1:15">
      <c r="A25">
        <v>24</v>
      </c>
      <c r="B25" s="13">
        <v>46174</v>
      </c>
      <c r="C25" t="s">
        <v>17</v>
      </c>
      <c r="D25" t="s">
        <v>27</v>
      </c>
      <c r="E25" t="s">
        <v>28</v>
      </c>
      <c r="F25" s="14">
        <v>1080.45</v>
      </c>
      <c r="G25" t="s">
        <v>25</v>
      </c>
      <c r="H25" t="s">
        <v>35</v>
      </c>
      <c r="I25" t="s">
        <v>15</v>
      </c>
      <c r="J25" t="s">
        <v>16</v>
      </c>
      <c r="K25" s="18" t="str">
        <f t="shared" si="0"/>
        <v>June</v>
      </c>
      <c r="L25" s="18">
        <f t="shared" si="1"/>
        <v>6</v>
      </c>
      <c r="M25" s="18" t="str">
        <f t="shared" si="2"/>
        <v>medium</v>
      </c>
      <c r="N25" s="18" t="str">
        <f t="shared" si="3"/>
        <v>weekday</v>
      </c>
      <c r="O25" s="18">
        <f t="shared" si="4"/>
        <v>24</v>
      </c>
    </row>
    <row r="26" spans="1:15">
      <c r="A26">
        <v>25</v>
      </c>
      <c r="B26" s="13">
        <v>46176</v>
      </c>
      <c r="C26" t="s">
        <v>39</v>
      </c>
      <c r="D26" t="s">
        <v>18</v>
      </c>
      <c r="E26" t="s">
        <v>19</v>
      </c>
      <c r="F26" s="14">
        <v>1086.37</v>
      </c>
      <c r="G26" t="s">
        <v>25</v>
      </c>
      <c r="H26" t="s">
        <v>33</v>
      </c>
      <c r="I26" t="s">
        <v>15</v>
      </c>
      <c r="J26" t="s">
        <v>16</v>
      </c>
      <c r="K26" s="18" t="str">
        <f t="shared" si="0"/>
        <v>June</v>
      </c>
      <c r="L26" s="18">
        <f t="shared" si="1"/>
        <v>6</v>
      </c>
      <c r="M26" s="18" t="str">
        <f t="shared" si="2"/>
        <v>medium</v>
      </c>
      <c r="N26" s="18" t="str">
        <f t="shared" si="3"/>
        <v>weekday</v>
      </c>
      <c r="O26" s="18">
        <f t="shared" si="4"/>
        <v>25</v>
      </c>
    </row>
    <row r="27" spans="1:15">
      <c r="A27">
        <v>26</v>
      </c>
      <c r="B27" s="13">
        <v>46176</v>
      </c>
      <c r="C27" t="s">
        <v>39</v>
      </c>
      <c r="D27" t="s">
        <v>30</v>
      </c>
      <c r="E27" t="s">
        <v>31</v>
      </c>
      <c r="F27" s="14">
        <v>713.81</v>
      </c>
      <c r="G27" t="s">
        <v>32</v>
      </c>
      <c r="H27" t="s">
        <v>14</v>
      </c>
      <c r="I27" t="s">
        <v>21</v>
      </c>
      <c r="J27" t="s">
        <v>22</v>
      </c>
      <c r="K27" s="18" t="str">
        <f t="shared" si="0"/>
        <v>June</v>
      </c>
      <c r="L27" s="18">
        <f t="shared" si="1"/>
        <v>6</v>
      </c>
      <c r="M27" s="18" t="str">
        <f t="shared" si="2"/>
        <v>low</v>
      </c>
      <c r="N27" s="18" t="str">
        <f t="shared" si="3"/>
        <v>weekday</v>
      </c>
      <c r="O27" s="18">
        <f t="shared" si="4"/>
        <v>26</v>
      </c>
    </row>
    <row r="28" spans="1:15">
      <c r="A28">
        <v>27</v>
      </c>
      <c r="B28" s="13">
        <v>46177</v>
      </c>
      <c r="C28" t="s">
        <v>23</v>
      </c>
      <c r="D28" t="s">
        <v>47</v>
      </c>
      <c r="E28" t="s">
        <v>53</v>
      </c>
      <c r="F28" s="14">
        <v>422.75</v>
      </c>
      <c r="G28" t="s">
        <v>20</v>
      </c>
      <c r="H28" t="s">
        <v>14</v>
      </c>
      <c r="I28" t="s">
        <v>15</v>
      </c>
      <c r="J28" t="s">
        <v>16</v>
      </c>
      <c r="K28" s="18" t="str">
        <f t="shared" si="0"/>
        <v>June</v>
      </c>
      <c r="L28" s="18">
        <f t="shared" si="1"/>
        <v>6</v>
      </c>
      <c r="M28" s="18" t="str">
        <f t="shared" si="2"/>
        <v>low</v>
      </c>
      <c r="N28" s="18" t="str">
        <f t="shared" si="3"/>
        <v>weekday</v>
      </c>
      <c r="O28" s="18">
        <f t="shared" si="4"/>
        <v>27</v>
      </c>
    </row>
    <row r="29" spans="1:15">
      <c r="A29">
        <v>28</v>
      </c>
      <c r="B29" s="13">
        <v>46178</v>
      </c>
      <c r="C29" t="s">
        <v>10</v>
      </c>
      <c r="D29" t="s">
        <v>18</v>
      </c>
      <c r="E29" t="s">
        <v>44</v>
      </c>
      <c r="F29" s="14">
        <v>1371.12</v>
      </c>
      <c r="G29" t="s">
        <v>25</v>
      </c>
      <c r="H29" t="s">
        <v>35</v>
      </c>
      <c r="I29" t="s">
        <v>21</v>
      </c>
      <c r="J29" t="s">
        <v>16</v>
      </c>
      <c r="K29" s="18" t="str">
        <f t="shared" si="0"/>
        <v>June</v>
      </c>
      <c r="L29" s="18">
        <f t="shared" si="1"/>
        <v>6</v>
      </c>
      <c r="M29" s="18" t="str">
        <f t="shared" si="2"/>
        <v>medium</v>
      </c>
      <c r="N29" s="18" t="str">
        <f t="shared" si="3"/>
        <v>weekday</v>
      </c>
      <c r="O29" s="18">
        <f t="shared" si="4"/>
        <v>28</v>
      </c>
    </row>
    <row r="30" spans="1:15">
      <c r="A30">
        <v>29</v>
      </c>
      <c r="B30" s="13">
        <v>46178</v>
      </c>
      <c r="C30" t="s">
        <v>10</v>
      </c>
      <c r="D30" t="s">
        <v>18</v>
      </c>
      <c r="E30" t="s">
        <v>44</v>
      </c>
      <c r="F30" s="14">
        <v>1798.18</v>
      </c>
      <c r="G30" t="s">
        <v>20</v>
      </c>
      <c r="H30" t="s">
        <v>14</v>
      </c>
      <c r="I30" t="s">
        <v>21</v>
      </c>
      <c r="J30" t="s">
        <v>22</v>
      </c>
      <c r="K30" s="18" t="str">
        <f t="shared" si="0"/>
        <v>June</v>
      </c>
      <c r="L30" s="18">
        <f t="shared" si="1"/>
        <v>6</v>
      </c>
      <c r="M30" s="18" t="str">
        <f t="shared" si="2"/>
        <v>medium</v>
      </c>
      <c r="N30" s="18" t="str">
        <f t="shared" si="3"/>
        <v>weekday</v>
      </c>
      <c r="O30" s="18">
        <f t="shared" si="4"/>
        <v>29</v>
      </c>
    </row>
    <row r="31" spans="1:15">
      <c r="A31">
        <v>30</v>
      </c>
      <c r="B31" s="13">
        <v>46178</v>
      </c>
      <c r="C31" t="s">
        <v>10</v>
      </c>
      <c r="D31" t="s">
        <v>47</v>
      </c>
      <c r="E31" t="s">
        <v>54</v>
      </c>
      <c r="F31" s="14">
        <v>823.28</v>
      </c>
      <c r="G31" t="s">
        <v>20</v>
      </c>
      <c r="H31" t="s">
        <v>41</v>
      </c>
      <c r="I31" t="s">
        <v>15</v>
      </c>
      <c r="J31" t="s">
        <v>22</v>
      </c>
      <c r="K31" s="18" t="str">
        <f t="shared" si="0"/>
        <v>June</v>
      </c>
      <c r="L31" s="18">
        <f t="shared" si="1"/>
        <v>6</v>
      </c>
      <c r="M31" s="18" t="str">
        <f t="shared" si="2"/>
        <v>low</v>
      </c>
      <c r="N31" s="18" t="str">
        <f t="shared" si="3"/>
        <v>weekday</v>
      </c>
      <c r="O31" s="18">
        <f t="shared" si="4"/>
        <v>30</v>
      </c>
    </row>
    <row r="32" spans="1:15">
      <c r="A32">
        <v>31</v>
      </c>
      <c r="B32" s="13">
        <v>46178</v>
      </c>
      <c r="C32" t="s">
        <v>10</v>
      </c>
      <c r="D32" t="s">
        <v>37</v>
      </c>
      <c r="E32" t="s">
        <v>55</v>
      </c>
      <c r="F32" s="14">
        <v>465.02</v>
      </c>
      <c r="G32" t="s">
        <v>20</v>
      </c>
      <c r="H32" t="s">
        <v>33</v>
      </c>
      <c r="I32" t="s">
        <v>15</v>
      </c>
      <c r="J32" t="s">
        <v>16</v>
      </c>
      <c r="K32" s="18" t="str">
        <f t="shared" si="0"/>
        <v>June</v>
      </c>
      <c r="L32" s="18">
        <f t="shared" si="1"/>
        <v>6</v>
      </c>
      <c r="M32" s="18" t="str">
        <f t="shared" si="2"/>
        <v>low</v>
      </c>
      <c r="N32" s="18" t="str">
        <f t="shared" si="3"/>
        <v>weekday</v>
      </c>
      <c r="O32" s="18">
        <f t="shared" si="4"/>
        <v>31</v>
      </c>
    </row>
    <row r="33" spans="1:15">
      <c r="A33">
        <v>32</v>
      </c>
      <c r="B33" s="13">
        <v>46179</v>
      </c>
      <c r="C33" t="s">
        <v>46</v>
      </c>
      <c r="D33" t="s">
        <v>27</v>
      </c>
      <c r="E33" t="s">
        <v>40</v>
      </c>
      <c r="F33" s="14">
        <v>690.43</v>
      </c>
      <c r="G33" t="s">
        <v>32</v>
      </c>
      <c r="H33" t="s">
        <v>35</v>
      </c>
      <c r="I33" t="s">
        <v>21</v>
      </c>
      <c r="J33" t="s">
        <v>22</v>
      </c>
      <c r="K33" s="18" t="str">
        <f t="shared" si="0"/>
        <v>June</v>
      </c>
      <c r="L33" s="18">
        <f t="shared" si="1"/>
        <v>6</v>
      </c>
      <c r="M33" s="18" t="str">
        <f t="shared" si="2"/>
        <v>low</v>
      </c>
      <c r="N33" s="18" t="str">
        <f t="shared" si="3"/>
        <v>weekend</v>
      </c>
      <c r="O33" s="18">
        <f t="shared" si="4"/>
        <v>32</v>
      </c>
    </row>
    <row r="34" spans="1:15">
      <c r="A34">
        <v>33</v>
      </c>
      <c r="B34" s="13">
        <v>46180</v>
      </c>
      <c r="C34" t="s">
        <v>36</v>
      </c>
      <c r="D34" t="s">
        <v>27</v>
      </c>
      <c r="E34" t="s">
        <v>28</v>
      </c>
      <c r="F34" s="14">
        <v>1779.62</v>
      </c>
      <c r="G34" t="s">
        <v>25</v>
      </c>
      <c r="H34" t="s">
        <v>41</v>
      </c>
      <c r="I34" t="s">
        <v>21</v>
      </c>
      <c r="J34" t="s">
        <v>16</v>
      </c>
      <c r="K34" s="18" t="str">
        <f t="shared" ref="K34:K65" si="5">TEXT(B34,"MMMM")</f>
        <v>June</v>
      </c>
      <c r="L34" s="18">
        <f t="shared" ref="L34:L65" si="6">MONTH((B34))</f>
        <v>6</v>
      </c>
      <c r="M34" s="18" t="str">
        <f t="shared" ref="M34:M65" si="7">IF(F34&gt;=3000,"high",IF(F34&gt;=1000,"medium","low"))</f>
        <v>medium</v>
      </c>
      <c r="N34" s="18" t="str">
        <f t="shared" ref="N34:N65" si="8">IF(WEEKDAY(B34,2)&gt;5,"weekend","weekday")</f>
        <v>weekend</v>
      </c>
      <c r="O34" s="18">
        <f t="shared" si="4"/>
        <v>33</v>
      </c>
    </row>
    <row r="35" spans="1:15">
      <c r="A35">
        <v>34</v>
      </c>
      <c r="B35" s="13">
        <v>46180</v>
      </c>
      <c r="C35" t="s">
        <v>36</v>
      </c>
      <c r="D35" t="s">
        <v>27</v>
      </c>
      <c r="E35" t="s">
        <v>49</v>
      </c>
      <c r="F35" s="14">
        <v>2106.18</v>
      </c>
      <c r="G35" t="s">
        <v>32</v>
      </c>
      <c r="H35" t="s">
        <v>35</v>
      </c>
      <c r="I35" t="s">
        <v>21</v>
      </c>
      <c r="J35" t="s">
        <v>22</v>
      </c>
      <c r="K35" s="18" t="str">
        <f t="shared" si="5"/>
        <v>June</v>
      </c>
      <c r="L35" s="18">
        <f t="shared" si="6"/>
        <v>6</v>
      </c>
      <c r="M35" s="18" t="str">
        <f t="shared" si="7"/>
        <v>medium</v>
      </c>
      <c r="N35" s="18" t="str">
        <f t="shared" si="8"/>
        <v>weekend</v>
      </c>
      <c r="O35" s="18">
        <f t="shared" si="4"/>
        <v>34</v>
      </c>
    </row>
    <row r="36" spans="1:15">
      <c r="A36">
        <v>35</v>
      </c>
      <c r="B36" s="13">
        <v>46184</v>
      </c>
      <c r="C36" t="s">
        <v>23</v>
      </c>
      <c r="D36" t="s">
        <v>30</v>
      </c>
      <c r="E36" t="s">
        <v>56</v>
      </c>
      <c r="F36" s="14">
        <v>957.4</v>
      </c>
      <c r="G36" t="s">
        <v>20</v>
      </c>
      <c r="H36" t="s">
        <v>26</v>
      </c>
      <c r="I36" t="s">
        <v>21</v>
      </c>
      <c r="J36" t="s">
        <v>22</v>
      </c>
      <c r="K36" s="18" t="str">
        <f t="shared" si="5"/>
        <v>June</v>
      </c>
      <c r="L36" s="18">
        <f t="shared" si="6"/>
        <v>6</v>
      </c>
      <c r="M36" s="18" t="str">
        <f t="shared" si="7"/>
        <v>low</v>
      </c>
      <c r="N36" s="18" t="str">
        <f t="shared" si="8"/>
        <v>weekday</v>
      </c>
      <c r="O36" s="18">
        <f t="shared" si="4"/>
        <v>35</v>
      </c>
    </row>
    <row r="37" spans="1:15">
      <c r="A37">
        <v>36</v>
      </c>
      <c r="B37" s="13">
        <v>46186</v>
      </c>
      <c r="C37" t="s">
        <v>46</v>
      </c>
      <c r="D37" t="s">
        <v>30</v>
      </c>
      <c r="E37" t="s">
        <v>56</v>
      </c>
      <c r="F37" s="14">
        <v>578.63</v>
      </c>
      <c r="G37" t="s">
        <v>29</v>
      </c>
      <c r="H37" t="s">
        <v>26</v>
      </c>
      <c r="I37" t="s">
        <v>15</v>
      </c>
      <c r="J37" t="s">
        <v>22</v>
      </c>
      <c r="K37" s="18" t="str">
        <f t="shared" si="5"/>
        <v>June</v>
      </c>
      <c r="L37" s="18">
        <f t="shared" si="6"/>
        <v>6</v>
      </c>
      <c r="M37" s="18" t="str">
        <f t="shared" si="7"/>
        <v>low</v>
      </c>
      <c r="N37" s="18" t="str">
        <f t="shared" si="8"/>
        <v>weekend</v>
      </c>
      <c r="O37" s="18">
        <f t="shared" si="4"/>
        <v>36</v>
      </c>
    </row>
    <row r="38" spans="1:15">
      <c r="A38">
        <v>37</v>
      </c>
      <c r="B38" s="13">
        <v>46187</v>
      </c>
      <c r="C38" t="s">
        <v>36</v>
      </c>
      <c r="D38" t="s">
        <v>30</v>
      </c>
      <c r="E38" t="s">
        <v>56</v>
      </c>
      <c r="F38" s="14">
        <v>1174.66</v>
      </c>
      <c r="G38" t="s">
        <v>25</v>
      </c>
      <c r="H38" t="s">
        <v>14</v>
      </c>
      <c r="I38" t="s">
        <v>15</v>
      </c>
      <c r="J38" t="s">
        <v>22</v>
      </c>
      <c r="K38" s="18" t="str">
        <f t="shared" si="5"/>
        <v>June</v>
      </c>
      <c r="L38" s="18">
        <f t="shared" si="6"/>
        <v>6</v>
      </c>
      <c r="M38" s="18" t="str">
        <f t="shared" si="7"/>
        <v>medium</v>
      </c>
      <c r="N38" s="18" t="str">
        <f t="shared" si="8"/>
        <v>weekend</v>
      </c>
      <c r="O38" s="18">
        <f t="shared" si="4"/>
        <v>37</v>
      </c>
    </row>
    <row r="39" spans="1:15">
      <c r="A39">
        <v>38</v>
      </c>
      <c r="B39" s="13">
        <v>46188</v>
      </c>
      <c r="C39" t="s">
        <v>17</v>
      </c>
      <c r="D39" t="s">
        <v>27</v>
      </c>
      <c r="E39" t="s">
        <v>40</v>
      </c>
      <c r="F39" s="14">
        <v>2135.28</v>
      </c>
      <c r="G39" t="s">
        <v>13</v>
      </c>
      <c r="H39" t="s">
        <v>35</v>
      </c>
      <c r="I39" t="s">
        <v>15</v>
      </c>
      <c r="J39" t="s">
        <v>16</v>
      </c>
      <c r="K39" s="18" t="str">
        <f t="shared" si="5"/>
        <v>June</v>
      </c>
      <c r="L39" s="18">
        <f t="shared" si="6"/>
        <v>6</v>
      </c>
      <c r="M39" s="18" t="str">
        <f t="shared" si="7"/>
        <v>medium</v>
      </c>
      <c r="N39" s="18" t="str">
        <f t="shared" si="8"/>
        <v>weekday</v>
      </c>
      <c r="O39" s="18">
        <f t="shared" si="4"/>
        <v>38</v>
      </c>
    </row>
    <row r="40" spans="1:15">
      <c r="A40">
        <v>39</v>
      </c>
      <c r="B40" s="13">
        <v>46192</v>
      </c>
      <c r="C40" t="s">
        <v>10</v>
      </c>
      <c r="D40" t="s">
        <v>37</v>
      </c>
      <c r="E40" t="s">
        <v>57</v>
      </c>
      <c r="F40" s="14">
        <v>407.73</v>
      </c>
      <c r="G40" t="s">
        <v>32</v>
      </c>
      <c r="H40" t="s">
        <v>14</v>
      </c>
      <c r="I40" t="s">
        <v>21</v>
      </c>
      <c r="J40" t="s">
        <v>22</v>
      </c>
      <c r="K40" s="18" t="str">
        <f t="shared" si="5"/>
        <v>June</v>
      </c>
      <c r="L40" s="18">
        <f t="shared" si="6"/>
        <v>6</v>
      </c>
      <c r="M40" s="18" t="str">
        <f t="shared" si="7"/>
        <v>low</v>
      </c>
      <c r="N40" s="18" t="str">
        <f t="shared" si="8"/>
        <v>weekday</v>
      </c>
      <c r="O40" s="18">
        <f t="shared" si="4"/>
        <v>39</v>
      </c>
    </row>
    <row r="41" spans="1:15">
      <c r="A41">
        <v>40</v>
      </c>
      <c r="B41" s="13">
        <v>46194</v>
      </c>
      <c r="C41" t="s">
        <v>36</v>
      </c>
      <c r="D41" t="s">
        <v>50</v>
      </c>
      <c r="E41" t="s">
        <v>58</v>
      </c>
      <c r="F41" s="14">
        <v>4348.89</v>
      </c>
      <c r="G41" t="s">
        <v>32</v>
      </c>
      <c r="H41" t="s">
        <v>14</v>
      </c>
      <c r="I41" t="s">
        <v>21</v>
      </c>
      <c r="J41" t="s">
        <v>22</v>
      </c>
      <c r="K41" s="18" t="str">
        <f t="shared" si="5"/>
        <v>June</v>
      </c>
      <c r="L41" s="18">
        <f t="shared" si="6"/>
        <v>6</v>
      </c>
      <c r="M41" s="18" t="str">
        <f t="shared" si="7"/>
        <v>high</v>
      </c>
      <c r="N41" s="18" t="str">
        <f t="shared" si="8"/>
        <v>weekend</v>
      </c>
      <c r="O41" s="18">
        <f t="shared" si="4"/>
        <v>40</v>
      </c>
    </row>
    <row r="42" spans="1:15">
      <c r="A42">
        <v>41</v>
      </c>
      <c r="B42" s="13">
        <v>46194</v>
      </c>
      <c r="C42" t="s">
        <v>36</v>
      </c>
      <c r="D42" t="s">
        <v>27</v>
      </c>
      <c r="E42" t="s">
        <v>45</v>
      </c>
      <c r="F42" s="14">
        <v>2002.57</v>
      </c>
      <c r="G42" t="s">
        <v>13</v>
      </c>
      <c r="H42" t="s">
        <v>41</v>
      </c>
      <c r="I42" t="s">
        <v>21</v>
      </c>
      <c r="J42" t="s">
        <v>16</v>
      </c>
      <c r="K42" s="18" t="str">
        <f t="shared" si="5"/>
        <v>June</v>
      </c>
      <c r="L42" s="18">
        <f t="shared" si="6"/>
        <v>6</v>
      </c>
      <c r="M42" s="18" t="str">
        <f t="shared" si="7"/>
        <v>medium</v>
      </c>
      <c r="N42" s="18" t="str">
        <f t="shared" si="8"/>
        <v>weekend</v>
      </c>
      <c r="O42" s="18">
        <f t="shared" si="4"/>
        <v>41</v>
      </c>
    </row>
    <row r="43" spans="1:15">
      <c r="A43">
        <v>42</v>
      </c>
      <c r="B43" s="13">
        <v>46195</v>
      </c>
      <c r="C43" t="s">
        <v>17</v>
      </c>
      <c r="D43" t="s">
        <v>18</v>
      </c>
      <c r="E43" t="s">
        <v>24</v>
      </c>
      <c r="F43" s="14">
        <v>182.72</v>
      </c>
      <c r="G43" t="s">
        <v>13</v>
      </c>
      <c r="H43" t="s">
        <v>41</v>
      </c>
      <c r="I43" t="s">
        <v>21</v>
      </c>
      <c r="J43" t="s">
        <v>22</v>
      </c>
      <c r="K43" s="18" t="str">
        <f t="shared" si="5"/>
        <v>June</v>
      </c>
      <c r="L43" s="18">
        <f t="shared" si="6"/>
        <v>6</v>
      </c>
      <c r="M43" s="18" t="str">
        <f t="shared" si="7"/>
        <v>low</v>
      </c>
      <c r="N43" s="18" t="str">
        <f t="shared" si="8"/>
        <v>weekday</v>
      </c>
      <c r="O43" s="18">
        <f t="shared" si="4"/>
        <v>42</v>
      </c>
    </row>
    <row r="44" spans="1:15">
      <c r="A44">
        <v>43</v>
      </c>
      <c r="B44" s="13">
        <v>46196</v>
      </c>
      <c r="C44" t="s">
        <v>59</v>
      </c>
      <c r="D44" t="s">
        <v>30</v>
      </c>
      <c r="E44" t="s">
        <v>31</v>
      </c>
      <c r="F44" s="14">
        <v>1673.57</v>
      </c>
      <c r="G44" t="s">
        <v>29</v>
      </c>
      <c r="H44" t="s">
        <v>41</v>
      </c>
      <c r="I44" t="s">
        <v>15</v>
      </c>
      <c r="J44" t="s">
        <v>22</v>
      </c>
      <c r="K44" s="18" t="str">
        <f t="shared" si="5"/>
        <v>June</v>
      </c>
      <c r="L44" s="18">
        <f t="shared" si="6"/>
        <v>6</v>
      </c>
      <c r="M44" s="18" t="str">
        <f t="shared" si="7"/>
        <v>medium</v>
      </c>
      <c r="N44" s="18" t="str">
        <f t="shared" si="8"/>
        <v>weekday</v>
      </c>
      <c r="O44" s="18">
        <f t="shared" si="4"/>
        <v>43</v>
      </c>
    </row>
    <row r="45" spans="1:15">
      <c r="A45">
        <v>44</v>
      </c>
      <c r="B45" s="13">
        <v>46198</v>
      </c>
      <c r="C45" t="s">
        <v>23</v>
      </c>
      <c r="D45" t="s">
        <v>11</v>
      </c>
      <c r="E45" t="s">
        <v>60</v>
      </c>
      <c r="F45" s="14">
        <v>755.32</v>
      </c>
      <c r="G45" t="s">
        <v>13</v>
      </c>
      <c r="H45" t="s">
        <v>14</v>
      </c>
      <c r="I45" t="s">
        <v>21</v>
      </c>
      <c r="J45" t="s">
        <v>22</v>
      </c>
      <c r="K45" s="18" t="str">
        <f t="shared" si="5"/>
        <v>June</v>
      </c>
      <c r="L45" s="18">
        <f t="shared" si="6"/>
        <v>6</v>
      </c>
      <c r="M45" s="18" t="str">
        <f t="shared" si="7"/>
        <v>low</v>
      </c>
      <c r="N45" s="18" t="str">
        <f t="shared" si="8"/>
        <v>weekday</v>
      </c>
      <c r="O45" s="18">
        <f t="shared" si="4"/>
        <v>44</v>
      </c>
    </row>
    <row r="46" spans="1:15">
      <c r="A46">
        <v>45</v>
      </c>
      <c r="B46" s="13">
        <v>46198</v>
      </c>
      <c r="C46" t="s">
        <v>23</v>
      </c>
      <c r="D46" t="s">
        <v>50</v>
      </c>
      <c r="E46" t="s">
        <v>61</v>
      </c>
      <c r="F46" s="14">
        <v>2320.57</v>
      </c>
      <c r="G46" t="s">
        <v>20</v>
      </c>
      <c r="H46" t="s">
        <v>35</v>
      </c>
      <c r="I46" t="s">
        <v>21</v>
      </c>
      <c r="J46" t="s">
        <v>16</v>
      </c>
      <c r="K46" s="18" t="str">
        <f t="shared" si="5"/>
        <v>June</v>
      </c>
      <c r="L46" s="18">
        <f t="shared" si="6"/>
        <v>6</v>
      </c>
      <c r="M46" s="18" t="str">
        <f t="shared" si="7"/>
        <v>medium</v>
      </c>
      <c r="N46" s="18" t="str">
        <f t="shared" si="8"/>
        <v>weekday</v>
      </c>
      <c r="O46" s="18">
        <f t="shared" si="4"/>
        <v>45</v>
      </c>
    </row>
    <row r="47" spans="1:15">
      <c r="A47">
        <v>46</v>
      </c>
      <c r="B47" s="13">
        <v>46203</v>
      </c>
      <c r="C47" t="s">
        <v>59</v>
      </c>
      <c r="D47" t="s">
        <v>11</v>
      </c>
      <c r="E47" t="s">
        <v>62</v>
      </c>
      <c r="F47" s="14">
        <v>509.04</v>
      </c>
      <c r="G47" t="s">
        <v>25</v>
      </c>
      <c r="H47" t="s">
        <v>26</v>
      </c>
      <c r="I47" t="s">
        <v>21</v>
      </c>
      <c r="J47" t="s">
        <v>22</v>
      </c>
      <c r="K47" s="18" t="str">
        <f t="shared" si="5"/>
        <v>June</v>
      </c>
      <c r="L47" s="18">
        <f t="shared" si="6"/>
        <v>6</v>
      </c>
      <c r="M47" s="18" t="str">
        <f t="shared" si="7"/>
        <v>low</v>
      </c>
      <c r="N47" s="18" t="str">
        <f t="shared" si="8"/>
        <v>weekday</v>
      </c>
      <c r="O47" s="18">
        <f t="shared" si="4"/>
        <v>46</v>
      </c>
    </row>
    <row r="48" spans="1:15">
      <c r="A48">
        <v>47</v>
      </c>
      <c r="B48" s="13">
        <v>46204</v>
      </c>
      <c r="C48" t="s">
        <v>39</v>
      </c>
      <c r="D48" t="s">
        <v>27</v>
      </c>
      <c r="E48" t="s">
        <v>49</v>
      </c>
      <c r="F48" s="14">
        <v>2717.08</v>
      </c>
      <c r="G48" t="s">
        <v>20</v>
      </c>
      <c r="H48" t="s">
        <v>33</v>
      </c>
      <c r="I48" t="s">
        <v>15</v>
      </c>
      <c r="J48" t="s">
        <v>22</v>
      </c>
      <c r="K48" s="18" t="str">
        <f t="shared" si="5"/>
        <v>July</v>
      </c>
      <c r="L48" s="18">
        <f t="shared" si="6"/>
        <v>7</v>
      </c>
      <c r="M48" s="18" t="str">
        <f t="shared" si="7"/>
        <v>medium</v>
      </c>
      <c r="N48" s="18" t="str">
        <f t="shared" si="8"/>
        <v>weekday</v>
      </c>
      <c r="O48" s="18">
        <f t="shared" si="4"/>
        <v>47</v>
      </c>
    </row>
    <row r="49" spans="1:15">
      <c r="A49">
        <v>48</v>
      </c>
      <c r="B49" s="13">
        <v>46205</v>
      </c>
      <c r="C49" t="s">
        <v>23</v>
      </c>
      <c r="D49" t="s">
        <v>37</v>
      </c>
      <c r="E49" t="s">
        <v>55</v>
      </c>
      <c r="F49" s="14">
        <v>746.82</v>
      </c>
      <c r="G49" t="s">
        <v>32</v>
      </c>
      <c r="H49" t="s">
        <v>26</v>
      </c>
      <c r="I49" t="s">
        <v>15</v>
      </c>
      <c r="J49" t="s">
        <v>16</v>
      </c>
      <c r="K49" s="18" t="str">
        <f t="shared" si="5"/>
        <v>July</v>
      </c>
      <c r="L49" s="18">
        <f t="shared" si="6"/>
        <v>7</v>
      </c>
      <c r="M49" s="18" t="str">
        <f t="shared" si="7"/>
        <v>low</v>
      </c>
      <c r="N49" s="18" t="str">
        <f t="shared" si="8"/>
        <v>weekday</v>
      </c>
      <c r="O49" s="18">
        <f t="shared" si="4"/>
        <v>48</v>
      </c>
    </row>
    <row r="50" spans="1:15">
      <c r="A50">
        <v>49</v>
      </c>
      <c r="B50" s="13">
        <v>46205</v>
      </c>
      <c r="C50" t="s">
        <v>23</v>
      </c>
      <c r="D50" t="s">
        <v>27</v>
      </c>
      <c r="E50" t="s">
        <v>49</v>
      </c>
      <c r="F50" s="14">
        <v>1973.12</v>
      </c>
      <c r="G50" t="s">
        <v>29</v>
      </c>
      <c r="H50" t="s">
        <v>33</v>
      </c>
      <c r="I50" t="s">
        <v>15</v>
      </c>
      <c r="J50" t="s">
        <v>16</v>
      </c>
      <c r="K50" s="18" t="str">
        <f t="shared" si="5"/>
        <v>July</v>
      </c>
      <c r="L50" s="18">
        <f t="shared" si="6"/>
        <v>7</v>
      </c>
      <c r="M50" s="18" t="str">
        <f t="shared" si="7"/>
        <v>medium</v>
      </c>
      <c r="N50" s="18" t="str">
        <f t="shared" si="8"/>
        <v>weekday</v>
      </c>
      <c r="O50" s="18">
        <f t="shared" si="4"/>
        <v>49</v>
      </c>
    </row>
    <row r="51" spans="1:15">
      <c r="A51">
        <v>50</v>
      </c>
      <c r="B51" s="13">
        <v>46207</v>
      </c>
      <c r="C51" t="s">
        <v>46</v>
      </c>
      <c r="D51" t="s">
        <v>37</v>
      </c>
      <c r="E51" t="s">
        <v>63</v>
      </c>
      <c r="F51" s="14">
        <v>587.01</v>
      </c>
      <c r="G51" t="s">
        <v>25</v>
      </c>
      <c r="H51" t="s">
        <v>33</v>
      </c>
      <c r="I51" t="s">
        <v>15</v>
      </c>
      <c r="J51" t="s">
        <v>22</v>
      </c>
      <c r="K51" s="18" t="str">
        <f t="shared" si="5"/>
        <v>July</v>
      </c>
      <c r="L51" s="18">
        <f t="shared" si="6"/>
        <v>7</v>
      </c>
      <c r="M51" s="18" t="str">
        <f t="shared" si="7"/>
        <v>low</v>
      </c>
      <c r="N51" s="18" t="str">
        <f t="shared" si="8"/>
        <v>weekend</v>
      </c>
      <c r="O51" s="18">
        <f t="shared" si="4"/>
        <v>50</v>
      </c>
    </row>
    <row r="52" spans="1:15">
      <c r="A52">
        <v>51</v>
      </c>
      <c r="B52" s="13">
        <v>46207</v>
      </c>
      <c r="C52" t="s">
        <v>46</v>
      </c>
      <c r="D52" t="s">
        <v>47</v>
      </c>
      <c r="E52" t="s">
        <v>64</v>
      </c>
      <c r="F52" s="14">
        <v>1406.56</v>
      </c>
      <c r="G52" t="s">
        <v>13</v>
      </c>
      <c r="H52" t="s">
        <v>26</v>
      </c>
      <c r="I52" t="s">
        <v>21</v>
      </c>
      <c r="J52" t="s">
        <v>22</v>
      </c>
      <c r="K52" s="18" t="str">
        <f t="shared" si="5"/>
        <v>July</v>
      </c>
      <c r="L52" s="18">
        <f t="shared" si="6"/>
        <v>7</v>
      </c>
      <c r="M52" s="18" t="str">
        <f t="shared" si="7"/>
        <v>medium</v>
      </c>
      <c r="N52" s="18" t="str">
        <f t="shared" si="8"/>
        <v>weekend</v>
      </c>
      <c r="O52" s="18">
        <f t="shared" si="4"/>
        <v>51</v>
      </c>
    </row>
    <row r="53" spans="1:15">
      <c r="A53">
        <v>52</v>
      </c>
      <c r="B53" s="13">
        <v>46208</v>
      </c>
      <c r="C53" t="s">
        <v>36</v>
      </c>
      <c r="D53" t="s">
        <v>18</v>
      </c>
      <c r="E53" t="s">
        <v>44</v>
      </c>
      <c r="F53" s="14">
        <v>1901.67</v>
      </c>
      <c r="G53" t="s">
        <v>13</v>
      </c>
      <c r="H53" t="s">
        <v>26</v>
      </c>
      <c r="I53" t="s">
        <v>15</v>
      </c>
      <c r="J53" t="s">
        <v>22</v>
      </c>
      <c r="K53" s="18" t="str">
        <f t="shared" si="5"/>
        <v>July</v>
      </c>
      <c r="L53" s="18">
        <f t="shared" si="6"/>
        <v>7</v>
      </c>
      <c r="M53" s="18" t="str">
        <f t="shared" si="7"/>
        <v>medium</v>
      </c>
      <c r="N53" s="18" t="str">
        <f t="shared" si="8"/>
        <v>weekend</v>
      </c>
      <c r="O53" s="18">
        <f t="shared" si="4"/>
        <v>52</v>
      </c>
    </row>
    <row r="54" spans="1:15">
      <c r="A54">
        <v>53</v>
      </c>
      <c r="B54" s="13">
        <v>46211</v>
      </c>
      <c r="C54" t="s">
        <v>39</v>
      </c>
      <c r="D54" t="s">
        <v>27</v>
      </c>
      <c r="E54" t="s">
        <v>49</v>
      </c>
      <c r="F54" s="14">
        <v>736.32</v>
      </c>
      <c r="G54" t="s">
        <v>29</v>
      </c>
      <c r="H54" t="s">
        <v>33</v>
      </c>
      <c r="I54" t="s">
        <v>15</v>
      </c>
      <c r="J54" t="s">
        <v>22</v>
      </c>
      <c r="K54" s="18" t="str">
        <f t="shared" si="5"/>
        <v>July</v>
      </c>
      <c r="L54" s="18">
        <f t="shared" si="6"/>
        <v>7</v>
      </c>
      <c r="M54" s="18" t="str">
        <f t="shared" si="7"/>
        <v>low</v>
      </c>
      <c r="N54" s="18" t="str">
        <f t="shared" si="8"/>
        <v>weekday</v>
      </c>
      <c r="O54" s="18">
        <f t="shared" si="4"/>
        <v>53</v>
      </c>
    </row>
    <row r="55" spans="1:15">
      <c r="A55">
        <v>54</v>
      </c>
      <c r="B55" s="13">
        <v>46213</v>
      </c>
      <c r="C55" t="s">
        <v>10</v>
      </c>
      <c r="D55" t="s">
        <v>47</v>
      </c>
      <c r="E55" t="s">
        <v>53</v>
      </c>
      <c r="F55" s="14">
        <v>908.29</v>
      </c>
      <c r="G55" t="s">
        <v>13</v>
      </c>
      <c r="H55" t="s">
        <v>41</v>
      </c>
      <c r="I55" t="s">
        <v>15</v>
      </c>
      <c r="J55" t="s">
        <v>22</v>
      </c>
      <c r="K55" s="18" t="str">
        <f t="shared" si="5"/>
        <v>July</v>
      </c>
      <c r="L55" s="18">
        <f t="shared" si="6"/>
        <v>7</v>
      </c>
      <c r="M55" s="18" t="str">
        <f t="shared" si="7"/>
        <v>low</v>
      </c>
      <c r="N55" s="18" t="str">
        <f t="shared" si="8"/>
        <v>weekday</v>
      </c>
      <c r="O55" s="18">
        <f t="shared" si="4"/>
        <v>54</v>
      </c>
    </row>
    <row r="56" spans="1:15">
      <c r="A56">
        <v>55</v>
      </c>
      <c r="B56" s="13">
        <v>46213</v>
      </c>
      <c r="C56" t="s">
        <v>10</v>
      </c>
      <c r="D56" t="s">
        <v>50</v>
      </c>
      <c r="E56" t="s">
        <v>61</v>
      </c>
      <c r="F56" s="14">
        <v>4983.83</v>
      </c>
      <c r="G56" t="s">
        <v>25</v>
      </c>
      <c r="H56" t="s">
        <v>14</v>
      </c>
      <c r="I56" t="s">
        <v>21</v>
      </c>
      <c r="J56" t="s">
        <v>22</v>
      </c>
      <c r="K56" s="18" t="str">
        <f t="shared" si="5"/>
        <v>July</v>
      </c>
      <c r="L56" s="18">
        <f t="shared" si="6"/>
        <v>7</v>
      </c>
      <c r="M56" s="18" t="str">
        <f t="shared" si="7"/>
        <v>high</v>
      </c>
      <c r="N56" s="18" t="str">
        <f t="shared" si="8"/>
        <v>weekday</v>
      </c>
      <c r="O56" s="18">
        <f t="shared" si="4"/>
        <v>55</v>
      </c>
    </row>
    <row r="57" spans="1:15">
      <c r="A57">
        <v>56</v>
      </c>
      <c r="B57" s="13">
        <v>46215</v>
      </c>
      <c r="C57" t="s">
        <v>36</v>
      </c>
      <c r="D57" t="s">
        <v>37</v>
      </c>
      <c r="E57" t="s">
        <v>55</v>
      </c>
      <c r="F57" s="14">
        <v>760.69</v>
      </c>
      <c r="G57" t="s">
        <v>20</v>
      </c>
      <c r="H57" t="s">
        <v>26</v>
      </c>
      <c r="I57" t="s">
        <v>21</v>
      </c>
      <c r="J57" t="s">
        <v>16</v>
      </c>
      <c r="K57" s="18" t="str">
        <f t="shared" si="5"/>
        <v>July</v>
      </c>
      <c r="L57" s="18">
        <f t="shared" si="6"/>
        <v>7</v>
      </c>
      <c r="M57" s="18" t="str">
        <f t="shared" si="7"/>
        <v>low</v>
      </c>
      <c r="N57" s="18" t="str">
        <f t="shared" si="8"/>
        <v>weekend</v>
      </c>
      <c r="O57" s="18">
        <f t="shared" si="4"/>
        <v>56</v>
      </c>
    </row>
    <row r="58" spans="1:15">
      <c r="A58">
        <v>57</v>
      </c>
      <c r="B58" s="13">
        <v>46216</v>
      </c>
      <c r="C58" t="s">
        <v>17</v>
      </c>
      <c r="D58" t="s">
        <v>47</v>
      </c>
      <c r="E58" t="s">
        <v>48</v>
      </c>
      <c r="F58" s="14">
        <v>770.2</v>
      </c>
      <c r="G58" t="s">
        <v>32</v>
      </c>
      <c r="H58" t="s">
        <v>26</v>
      </c>
      <c r="I58" t="s">
        <v>15</v>
      </c>
      <c r="J58" t="s">
        <v>22</v>
      </c>
      <c r="K58" s="18" t="str">
        <f t="shared" si="5"/>
        <v>July</v>
      </c>
      <c r="L58" s="18">
        <f t="shared" si="6"/>
        <v>7</v>
      </c>
      <c r="M58" s="18" t="str">
        <f t="shared" si="7"/>
        <v>low</v>
      </c>
      <c r="N58" s="18" t="str">
        <f t="shared" si="8"/>
        <v>weekday</v>
      </c>
      <c r="O58" s="18">
        <f t="shared" si="4"/>
        <v>57</v>
      </c>
    </row>
    <row r="59" spans="1:15">
      <c r="A59">
        <v>58</v>
      </c>
      <c r="B59" s="13">
        <v>46217</v>
      </c>
      <c r="C59" t="s">
        <v>59</v>
      </c>
      <c r="D59" t="s">
        <v>37</v>
      </c>
      <c r="E59" t="s">
        <v>55</v>
      </c>
      <c r="F59" s="14">
        <v>364.42</v>
      </c>
      <c r="G59" t="s">
        <v>25</v>
      </c>
      <c r="H59" t="s">
        <v>35</v>
      </c>
      <c r="I59" t="s">
        <v>21</v>
      </c>
      <c r="J59" t="s">
        <v>22</v>
      </c>
      <c r="K59" s="18" t="str">
        <f t="shared" si="5"/>
        <v>July</v>
      </c>
      <c r="L59" s="18">
        <f t="shared" si="6"/>
        <v>7</v>
      </c>
      <c r="M59" s="18" t="str">
        <f t="shared" si="7"/>
        <v>low</v>
      </c>
      <c r="N59" s="18" t="str">
        <f t="shared" si="8"/>
        <v>weekday</v>
      </c>
      <c r="O59" s="18">
        <f t="shared" si="4"/>
        <v>58</v>
      </c>
    </row>
    <row r="60" spans="1:15">
      <c r="A60">
        <v>59</v>
      </c>
      <c r="B60" s="13">
        <v>46217</v>
      </c>
      <c r="C60" t="s">
        <v>59</v>
      </c>
      <c r="D60" t="s">
        <v>37</v>
      </c>
      <c r="E60" t="s">
        <v>38</v>
      </c>
      <c r="F60" s="14">
        <v>481.85</v>
      </c>
      <c r="G60" t="s">
        <v>29</v>
      </c>
      <c r="H60" t="s">
        <v>33</v>
      </c>
      <c r="I60" t="s">
        <v>15</v>
      </c>
      <c r="J60" t="s">
        <v>16</v>
      </c>
      <c r="K60" s="18" t="str">
        <f t="shared" si="5"/>
        <v>July</v>
      </c>
      <c r="L60" s="18">
        <f t="shared" si="6"/>
        <v>7</v>
      </c>
      <c r="M60" s="18" t="str">
        <f t="shared" si="7"/>
        <v>low</v>
      </c>
      <c r="N60" s="18" t="str">
        <f t="shared" si="8"/>
        <v>weekday</v>
      </c>
      <c r="O60" s="18">
        <f t="shared" si="4"/>
        <v>59</v>
      </c>
    </row>
    <row r="61" spans="1:15">
      <c r="A61">
        <v>60</v>
      </c>
      <c r="B61" s="13">
        <v>46218</v>
      </c>
      <c r="C61" t="s">
        <v>39</v>
      </c>
      <c r="D61" t="s">
        <v>47</v>
      </c>
      <c r="E61" t="s">
        <v>54</v>
      </c>
      <c r="F61" s="14">
        <v>1162.33</v>
      </c>
      <c r="G61" t="s">
        <v>20</v>
      </c>
      <c r="H61" t="s">
        <v>33</v>
      </c>
      <c r="I61" t="s">
        <v>21</v>
      </c>
      <c r="J61" t="s">
        <v>22</v>
      </c>
      <c r="K61" s="18" t="str">
        <f t="shared" si="5"/>
        <v>July</v>
      </c>
      <c r="L61" s="18">
        <f t="shared" si="6"/>
        <v>7</v>
      </c>
      <c r="M61" s="18" t="str">
        <f t="shared" si="7"/>
        <v>medium</v>
      </c>
      <c r="N61" s="18" t="str">
        <f t="shared" si="8"/>
        <v>weekday</v>
      </c>
      <c r="O61" s="18">
        <f t="shared" si="4"/>
        <v>60</v>
      </c>
    </row>
    <row r="62" spans="1:15">
      <c r="A62">
        <v>61</v>
      </c>
      <c r="B62" s="13">
        <v>46218</v>
      </c>
      <c r="C62" t="s">
        <v>39</v>
      </c>
      <c r="D62" t="s">
        <v>37</v>
      </c>
      <c r="E62" t="s">
        <v>55</v>
      </c>
      <c r="F62" s="14">
        <v>532.06</v>
      </c>
      <c r="G62" t="s">
        <v>20</v>
      </c>
      <c r="H62" t="s">
        <v>33</v>
      </c>
      <c r="I62" t="s">
        <v>15</v>
      </c>
      <c r="J62" t="s">
        <v>16</v>
      </c>
      <c r="K62" s="18" t="str">
        <f t="shared" si="5"/>
        <v>July</v>
      </c>
      <c r="L62" s="18">
        <f t="shared" si="6"/>
        <v>7</v>
      </c>
      <c r="M62" s="18" t="str">
        <f t="shared" si="7"/>
        <v>low</v>
      </c>
      <c r="N62" s="18" t="str">
        <f t="shared" si="8"/>
        <v>weekday</v>
      </c>
      <c r="O62" s="18">
        <f t="shared" si="4"/>
        <v>61</v>
      </c>
    </row>
    <row r="63" spans="1:15">
      <c r="A63">
        <v>62</v>
      </c>
      <c r="B63" s="13">
        <v>46218</v>
      </c>
      <c r="C63" t="s">
        <v>39</v>
      </c>
      <c r="D63" t="s">
        <v>27</v>
      </c>
      <c r="E63" t="s">
        <v>28</v>
      </c>
      <c r="F63" s="14">
        <v>2121.86</v>
      </c>
      <c r="G63" t="s">
        <v>32</v>
      </c>
      <c r="H63" t="s">
        <v>35</v>
      </c>
      <c r="I63" t="s">
        <v>15</v>
      </c>
      <c r="J63" t="s">
        <v>16</v>
      </c>
      <c r="K63" s="18" t="str">
        <f t="shared" si="5"/>
        <v>July</v>
      </c>
      <c r="L63" s="18">
        <f t="shared" si="6"/>
        <v>7</v>
      </c>
      <c r="M63" s="18" t="str">
        <f t="shared" si="7"/>
        <v>medium</v>
      </c>
      <c r="N63" s="18" t="str">
        <f t="shared" si="8"/>
        <v>weekday</v>
      </c>
      <c r="O63" s="18">
        <f t="shared" si="4"/>
        <v>62</v>
      </c>
    </row>
    <row r="64" spans="1:15">
      <c r="A64">
        <v>63</v>
      </c>
      <c r="B64" s="13">
        <v>46219</v>
      </c>
      <c r="C64" t="s">
        <v>23</v>
      </c>
      <c r="D64" t="s">
        <v>11</v>
      </c>
      <c r="E64" t="s">
        <v>62</v>
      </c>
      <c r="F64" s="14">
        <v>470.31</v>
      </c>
      <c r="G64" t="s">
        <v>29</v>
      </c>
      <c r="H64" t="s">
        <v>35</v>
      </c>
      <c r="I64" t="s">
        <v>21</v>
      </c>
      <c r="J64" t="s">
        <v>16</v>
      </c>
      <c r="K64" s="18" t="str">
        <f t="shared" si="5"/>
        <v>July</v>
      </c>
      <c r="L64" s="18">
        <f t="shared" si="6"/>
        <v>7</v>
      </c>
      <c r="M64" s="18" t="str">
        <f t="shared" si="7"/>
        <v>low</v>
      </c>
      <c r="N64" s="18" t="str">
        <f t="shared" si="8"/>
        <v>weekday</v>
      </c>
      <c r="O64" s="18">
        <f t="shared" si="4"/>
        <v>63</v>
      </c>
    </row>
    <row r="65" spans="1:15">
      <c r="A65">
        <v>64</v>
      </c>
      <c r="B65" s="13">
        <v>46220</v>
      </c>
      <c r="C65" t="s">
        <v>10</v>
      </c>
      <c r="D65" t="s">
        <v>47</v>
      </c>
      <c r="E65" t="s">
        <v>54</v>
      </c>
      <c r="F65" s="14">
        <v>1121.62</v>
      </c>
      <c r="G65" t="s">
        <v>25</v>
      </c>
      <c r="H65" t="s">
        <v>41</v>
      </c>
      <c r="I65" t="s">
        <v>21</v>
      </c>
      <c r="J65" t="s">
        <v>16</v>
      </c>
      <c r="K65" s="18" t="str">
        <f t="shared" si="5"/>
        <v>July</v>
      </c>
      <c r="L65" s="18">
        <f t="shared" si="6"/>
        <v>7</v>
      </c>
      <c r="M65" s="18" t="str">
        <f t="shared" si="7"/>
        <v>medium</v>
      </c>
      <c r="N65" s="18" t="str">
        <f t="shared" si="8"/>
        <v>weekday</v>
      </c>
      <c r="O65" s="18">
        <f t="shared" si="4"/>
        <v>64</v>
      </c>
    </row>
    <row r="66" spans="1:15">
      <c r="A66">
        <v>65</v>
      </c>
      <c r="B66" s="13">
        <v>46224</v>
      </c>
      <c r="C66" t="s">
        <v>59</v>
      </c>
      <c r="D66" t="s">
        <v>11</v>
      </c>
      <c r="E66" t="s">
        <v>12</v>
      </c>
      <c r="F66" s="14">
        <v>895.03</v>
      </c>
      <c r="G66" t="s">
        <v>20</v>
      </c>
      <c r="H66" t="s">
        <v>26</v>
      </c>
      <c r="I66" t="s">
        <v>15</v>
      </c>
      <c r="J66" t="s">
        <v>16</v>
      </c>
      <c r="K66" s="18" t="str">
        <f t="shared" ref="K66:K101" si="9">TEXT(B66,"MMMM")</f>
        <v>July</v>
      </c>
      <c r="L66" s="18">
        <f t="shared" ref="L66:L101" si="10">MONTH((B66))</f>
        <v>7</v>
      </c>
      <c r="M66" s="18" t="str">
        <f t="shared" ref="M66:M101" si="11">IF(F66&gt;=3000,"high",IF(F66&gt;=1000,"medium","low"))</f>
        <v>low</v>
      </c>
      <c r="N66" s="18" t="str">
        <f t="shared" ref="N66:N101" si="12">IF(WEEKDAY(B66,2)&gt;5,"weekend","weekday")</f>
        <v>weekday</v>
      </c>
      <c r="O66" s="18">
        <f t="shared" ref="O66:O101" si="13">ROW()-1</f>
        <v>65</v>
      </c>
    </row>
    <row r="67" spans="1:15">
      <c r="A67">
        <v>66</v>
      </c>
      <c r="B67" s="13">
        <v>46226</v>
      </c>
      <c r="C67" t="s">
        <v>23</v>
      </c>
      <c r="D67" t="s">
        <v>18</v>
      </c>
      <c r="E67" t="s">
        <v>19</v>
      </c>
      <c r="F67" s="14">
        <v>2217.47</v>
      </c>
      <c r="G67" t="s">
        <v>29</v>
      </c>
      <c r="H67" t="s">
        <v>26</v>
      </c>
      <c r="I67" t="s">
        <v>21</v>
      </c>
      <c r="J67" t="s">
        <v>16</v>
      </c>
      <c r="K67" s="18" t="str">
        <f t="shared" si="9"/>
        <v>July</v>
      </c>
      <c r="L67" s="18">
        <f t="shared" si="10"/>
        <v>7</v>
      </c>
      <c r="M67" s="18" t="str">
        <f t="shared" si="11"/>
        <v>medium</v>
      </c>
      <c r="N67" s="18" t="str">
        <f t="shared" si="12"/>
        <v>weekday</v>
      </c>
      <c r="O67" s="18">
        <f t="shared" si="13"/>
        <v>66</v>
      </c>
    </row>
    <row r="68" spans="1:15">
      <c r="A68">
        <v>67</v>
      </c>
      <c r="B68" s="13">
        <v>46226</v>
      </c>
      <c r="C68" t="s">
        <v>23</v>
      </c>
      <c r="D68" t="s">
        <v>37</v>
      </c>
      <c r="E68" t="s">
        <v>55</v>
      </c>
      <c r="F68" s="14">
        <v>744.78</v>
      </c>
      <c r="G68" t="s">
        <v>20</v>
      </c>
      <c r="H68" t="s">
        <v>26</v>
      </c>
      <c r="I68" t="s">
        <v>21</v>
      </c>
      <c r="J68" t="s">
        <v>22</v>
      </c>
      <c r="K68" s="18" t="str">
        <f t="shared" si="9"/>
        <v>July</v>
      </c>
      <c r="L68" s="18">
        <f t="shared" si="10"/>
        <v>7</v>
      </c>
      <c r="M68" s="18" t="str">
        <f t="shared" si="11"/>
        <v>low</v>
      </c>
      <c r="N68" s="18" t="str">
        <f t="shared" si="12"/>
        <v>weekday</v>
      </c>
      <c r="O68" s="18">
        <f t="shared" si="13"/>
        <v>67</v>
      </c>
    </row>
    <row r="69" spans="1:15">
      <c r="A69">
        <v>68</v>
      </c>
      <c r="B69" s="13">
        <v>46227</v>
      </c>
      <c r="C69" t="s">
        <v>10</v>
      </c>
      <c r="D69" t="s">
        <v>18</v>
      </c>
      <c r="E69" t="s">
        <v>24</v>
      </c>
      <c r="F69" s="14">
        <v>454.56</v>
      </c>
      <c r="G69" t="s">
        <v>25</v>
      </c>
      <c r="H69" t="s">
        <v>35</v>
      </c>
      <c r="I69" t="s">
        <v>21</v>
      </c>
      <c r="J69" t="s">
        <v>16</v>
      </c>
      <c r="K69" s="18" t="str">
        <f t="shared" si="9"/>
        <v>July</v>
      </c>
      <c r="L69" s="18">
        <f t="shared" si="10"/>
        <v>7</v>
      </c>
      <c r="M69" s="18" t="str">
        <f t="shared" si="11"/>
        <v>low</v>
      </c>
      <c r="N69" s="18" t="str">
        <f t="shared" si="12"/>
        <v>weekday</v>
      </c>
      <c r="O69" s="18">
        <f t="shared" si="13"/>
        <v>68</v>
      </c>
    </row>
    <row r="70" spans="1:15">
      <c r="A70">
        <v>69</v>
      </c>
      <c r="B70" s="13">
        <v>46227</v>
      </c>
      <c r="C70" t="s">
        <v>10</v>
      </c>
      <c r="D70" t="s">
        <v>11</v>
      </c>
      <c r="E70" t="s">
        <v>60</v>
      </c>
      <c r="F70" s="14">
        <v>628.23</v>
      </c>
      <c r="G70" t="s">
        <v>25</v>
      </c>
      <c r="H70" t="s">
        <v>14</v>
      </c>
      <c r="I70" t="s">
        <v>15</v>
      </c>
      <c r="J70" t="s">
        <v>16</v>
      </c>
      <c r="K70" s="18" t="str">
        <f t="shared" si="9"/>
        <v>July</v>
      </c>
      <c r="L70" s="18">
        <f t="shared" si="10"/>
        <v>7</v>
      </c>
      <c r="M70" s="18" t="str">
        <f t="shared" si="11"/>
        <v>low</v>
      </c>
      <c r="N70" s="18" t="str">
        <f t="shared" si="12"/>
        <v>weekday</v>
      </c>
      <c r="O70" s="18">
        <f t="shared" si="13"/>
        <v>69</v>
      </c>
    </row>
    <row r="71" spans="1:15">
      <c r="A71">
        <v>70</v>
      </c>
      <c r="B71" s="13">
        <v>46228</v>
      </c>
      <c r="C71" t="s">
        <v>46</v>
      </c>
      <c r="D71" t="s">
        <v>11</v>
      </c>
      <c r="E71" t="s">
        <v>60</v>
      </c>
      <c r="F71" s="14">
        <v>940.54</v>
      </c>
      <c r="G71" t="s">
        <v>29</v>
      </c>
      <c r="H71" t="s">
        <v>35</v>
      </c>
      <c r="I71" t="s">
        <v>15</v>
      </c>
      <c r="J71" t="s">
        <v>16</v>
      </c>
      <c r="K71" s="18" t="str">
        <f t="shared" si="9"/>
        <v>July</v>
      </c>
      <c r="L71" s="18">
        <f t="shared" si="10"/>
        <v>7</v>
      </c>
      <c r="M71" s="18" t="str">
        <f t="shared" si="11"/>
        <v>low</v>
      </c>
      <c r="N71" s="18" t="str">
        <f t="shared" si="12"/>
        <v>weekend</v>
      </c>
      <c r="O71" s="18">
        <f t="shared" si="13"/>
        <v>70</v>
      </c>
    </row>
    <row r="72" spans="1:15">
      <c r="A72">
        <v>71</v>
      </c>
      <c r="B72" s="13">
        <v>46228</v>
      </c>
      <c r="C72" t="s">
        <v>46</v>
      </c>
      <c r="D72" t="s">
        <v>50</v>
      </c>
      <c r="E72" t="s">
        <v>61</v>
      </c>
      <c r="F72" s="14">
        <v>3140.73</v>
      </c>
      <c r="G72" t="s">
        <v>25</v>
      </c>
      <c r="H72" t="s">
        <v>33</v>
      </c>
      <c r="I72" t="s">
        <v>21</v>
      </c>
      <c r="J72" t="s">
        <v>16</v>
      </c>
      <c r="K72" s="18" t="str">
        <f t="shared" si="9"/>
        <v>July</v>
      </c>
      <c r="L72" s="18">
        <f t="shared" si="10"/>
        <v>7</v>
      </c>
      <c r="M72" s="18" t="str">
        <f t="shared" si="11"/>
        <v>high</v>
      </c>
      <c r="N72" s="18" t="str">
        <f t="shared" si="12"/>
        <v>weekend</v>
      </c>
      <c r="O72" s="18">
        <f t="shared" si="13"/>
        <v>71</v>
      </c>
    </row>
    <row r="73" spans="1:15">
      <c r="A73">
        <v>72</v>
      </c>
      <c r="B73" s="13">
        <v>46229</v>
      </c>
      <c r="C73" t="s">
        <v>36</v>
      </c>
      <c r="D73" t="s">
        <v>11</v>
      </c>
      <c r="E73" t="s">
        <v>65</v>
      </c>
      <c r="F73" s="14">
        <v>517.87</v>
      </c>
      <c r="G73" t="s">
        <v>13</v>
      </c>
      <c r="H73" t="s">
        <v>41</v>
      </c>
      <c r="I73" t="s">
        <v>15</v>
      </c>
      <c r="J73" t="s">
        <v>16</v>
      </c>
      <c r="K73" s="18" t="str">
        <f t="shared" si="9"/>
        <v>July</v>
      </c>
      <c r="L73" s="18">
        <f t="shared" si="10"/>
        <v>7</v>
      </c>
      <c r="M73" s="18" t="str">
        <f t="shared" si="11"/>
        <v>low</v>
      </c>
      <c r="N73" s="18" t="str">
        <f t="shared" si="12"/>
        <v>weekend</v>
      </c>
      <c r="O73" s="18">
        <f t="shared" si="13"/>
        <v>72</v>
      </c>
    </row>
    <row r="74" spans="1:15">
      <c r="A74">
        <v>73</v>
      </c>
      <c r="B74" s="13">
        <v>46229</v>
      </c>
      <c r="C74" t="s">
        <v>36</v>
      </c>
      <c r="D74" t="s">
        <v>42</v>
      </c>
      <c r="E74" t="s">
        <v>43</v>
      </c>
      <c r="F74" s="14">
        <v>2119.46</v>
      </c>
      <c r="G74" t="s">
        <v>13</v>
      </c>
      <c r="H74" t="s">
        <v>14</v>
      </c>
      <c r="I74" t="s">
        <v>21</v>
      </c>
      <c r="J74" t="s">
        <v>16</v>
      </c>
      <c r="K74" s="18" t="str">
        <f t="shared" si="9"/>
        <v>July</v>
      </c>
      <c r="L74" s="18">
        <f t="shared" si="10"/>
        <v>7</v>
      </c>
      <c r="M74" s="18" t="str">
        <f t="shared" si="11"/>
        <v>medium</v>
      </c>
      <c r="N74" s="18" t="str">
        <f t="shared" si="12"/>
        <v>weekend</v>
      </c>
      <c r="O74" s="18">
        <f t="shared" si="13"/>
        <v>73</v>
      </c>
    </row>
    <row r="75" spans="1:15">
      <c r="A75">
        <v>74</v>
      </c>
      <c r="B75" s="13">
        <v>46229</v>
      </c>
      <c r="C75" t="s">
        <v>36</v>
      </c>
      <c r="D75" t="s">
        <v>47</v>
      </c>
      <c r="E75" t="s">
        <v>64</v>
      </c>
      <c r="F75" s="14">
        <v>1229.19</v>
      </c>
      <c r="G75" t="s">
        <v>20</v>
      </c>
      <c r="H75" t="s">
        <v>41</v>
      </c>
      <c r="I75" t="s">
        <v>15</v>
      </c>
      <c r="J75" t="s">
        <v>16</v>
      </c>
      <c r="K75" s="18" t="str">
        <f t="shared" si="9"/>
        <v>July</v>
      </c>
      <c r="L75" s="18">
        <f t="shared" si="10"/>
        <v>7</v>
      </c>
      <c r="M75" s="18" t="str">
        <f t="shared" si="11"/>
        <v>medium</v>
      </c>
      <c r="N75" s="18" t="str">
        <f t="shared" si="12"/>
        <v>weekend</v>
      </c>
      <c r="O75" s="18">
        <f t="shared" si="13"/>
        <v>74</v>
      </c>
    </row>
    <row r="76" spans="1:15">
      <c r="A76">
        <v>75</v>
      </c>
      <c r="B76" s="13">
        <v>46230</v>
      </c>
      <c r="C76" t="s">
        <v>17</v>
      </c>
      <c r="D76" t="s">
        <v>11</v>
      </c>
      <c r="E76" t="s">
        <v>65</v>
      </c>
      <c r="F76" s="14">
        <v>906.04</v>
      </c>
      <c r="G76" t="s">
        <v>32</v>
      </c>
      <c r="H76" t="s">
        <v>41</v>
      </c>
      <c r="I76" t="s">
        <v>21</v>
      </c>
      <c r="J76" t="s">
        <v>22</v>
      </c>
      <c r="K76" s="18" t="str">
        <f t="shared" si="9"/>
        <v>July</v>
      </c>
      <c r="L76" s="18">
        <f t="shared" si="10"/>
        <v>7</v>
      </c>
      <c r="M76" s="18" t="str">
        <f t="shared" si="11"/>
        <v>low</v>
      </c>
      <c r="N76" s="18" t="str">
        <f t="shared" si="12"/>
        <v>weekday</v>
      </c>
      <c r="O76" s="18">
        <f t="shared" si="13"/>
        <v>75</v>
      </c>
    </row>
    <row r="77" spans="1:15">
      <c r="A77">
        <v>76</v>
      </c>
      <c r="B77" s="13">
        <v>46230</v>
      </c>
      <c r="C77" t="s">
        <v>17</v>
      </c>
      <c r="D77" t="s">
        <v>27</v>
      </c>
      <c r="E77" t="s">
        <v>40</v>
      </c>
      <c r="F77" s="14">
        <v>2384.7</v>
      </c>
      <c r="G77" t="s">
        <v>25</v>
      </c>
      <c r="H77" t="s">
        <v>26</v>
      </c>
      <c r="I77" t="s">
        <v>21</v>
      </c>
      <c r="J77" t="s">
        <v>16</v>
      </c>
      <c r="K77" s="18" t="str">
        <f t="shared" si="9"/>
        <v>July</v>
      </c>
      <c r="L77" s="18">
        <f t="shared" si="10"/>
        <v>7</v>
      </c>
      <c r="M77" s="18" t="str">
        <f t="shared" si="11"/>
        <v>medium</v>
      </c>
      <c r="N77" s="18" t="str">
        <f t="shared" si="12"/>
        <v>weekday</v>
      </c>
      <c r="O77" s="18">
        <f t="shared" si="13"/>
        <v>76</v>
      </c>
    </row>
    <row r="78" spans="1:15">
      <c r="A78">
        <v>77</v>
      </c>
      <c r="B78" s="13">
        <v>46231</v>
      </c>
      <c r="C78" t="s">
        <v>59</v>
      </c>
      <c r="D78" t="s">
        <v>18</v>
      </c>
      <c r="E78" t="s">
        <v>19</v>
      </c>
      <c r="F78" s="14">
        <v>129.97</v>
      </c>
      <c r="G78" t="s">
        <v>32</v>
      </c>
      <c r="H78" t="s">
        <v>14</v>
      </c>
      <c r="I78" t="s">
        <v>21</v>
      </c>
      <c r="J78" t="s">
        <v>16</v>
      </c>
      <c r="K78" s="18" t="str">
        <f t="shared" si="9"/>
        <v>July</v>
      </c>
      <c r="L78" s="18">
        <f t="shared" si="10"/>
        <v>7</v>
      </c>
      <c r="M78" s="18" t="str">
        <f t="shared" si="11"/>
        <v>low</v>
      </c>
      <c r="N78" s="18" t="str">
        <f t="shared" si="12"/>
        <v>weekday</v>
      </c>
      <c r="O78" s="18">
        <f t="shared" si="13"/>
        <v>77</v>
      </c>
    </row>
    <row r="79" spans="1:15">
      <c r="A79">
        <v>78</v>
      </c>
      <c r="B79" s="13">
        <v>46238</v>
      </c>
      <c r="C79" t="s">
        <v>59</v>
      </c>
      <c r="D79" t="s">
        <v>18</v>
      </c>
      <c r="E79" t="s">
        <v>19</v>
      </c>
      <c r="F79" s="14">
        <v>685.02</v>
      </c>
      <c r="G79" t="s">
        <v>20</v>
      </c>
      <c r="H79" t="s">
        <v>14</v>
      </c>
      <c r="I79" t="s">
        <v>21</v>
      </c>
      <c r="J79" t="s">
        <v>16</v>
      </c>
      <c r="K79" s="18" t="str">
        <f t="shared" si="9"/>
        <v>August</v>
      </c>
      <c r="L79" s="18">
        <f t="shared" si="10"/>
        <v>8</v>
      </c>
      <c r="M79" s="18" t="str">
        <f t="shared" si="11"/>
        <v>low</v>
      </c>
      <c r="N79" s="18" t="str">
        <f t="shared" si="12"/>
        <v>weekday</v>
      </c>
      <c r="O79" s="18">
        <f t="shared" si="13"/>
        <v>78</v>
      </c>
    </row>
    <row r="80" spans="1:15">
      <c r="A80">
        <v>79</v>
      </c>
      <c r="B80" s="13">
        <v>46239</v>
      </c>
      <c r="C80" t="s">
        <v>39</v>
      </c>
      <c r="D80" t="s">
        <v>30</v>
      </c>
      <c r="E80" t="s">
        <v>31</v>
      </c>
      <c r="F80" s="14">
        <v>2521.24</v>
      </c>
      <c r="G80" t="s">
        <v>29</v>
      </c>
      <c r="H80" t="s">
        <v>41</v>
      </c>
      <c r="I80" t="s">
        <v>15</v>
      </c>
      <c r="J80" t="s">
        <v>22</v>
      </c>
      <c r="K80" s="18" t="str">
        <f t="shared" si="9"/>
        <v>August</v>
      </c>
      <c r="L80" s="18">
        <f t="shared" si="10"/>
        <v>8</v>
      </c>
      <c r="M80" s="18" t="str">
        <f t="shared" si="11"/>
        <v>medium</v>
      </c>
      <c r="N80" s="18" t="str">
        <f t="shared" si="12"/>
        <v>weekday</v>
      </c>
      <c r="O80" s="18">
        <f t="shared" si="13"/>
        <v>79</v>
      </c>
    </row>
    <row r="81" spans="1:15">
      <c r="A81">
        <v>80</v>
      </c>
      <c r="B81" s="13">
        <v>46241</v>
      </c>
      <c r="C81" t="s">
        <v>10</v>
      </c>
      <c r="D81" t="s">
        <v>42</v>
      </c>
      <c r="E81" t="s">
        <v>43</v>
      </c>
      <c r="F81" s="14">
        <v>933.67</v>
      </c>
      <c r="G81" t="s">
        <v>29</v>
      </c>
      <c r="H81" t="s">
        <v>35</v>
      </c>
      <c r="I81" t="s">
        <v>21</v>
      </c>
      <c r="J81" t="s">
        <v>16</v>
      </c>
      <c r="K81" s="18" t="str">
        <f t="shared" si="9"/>
        <v>August</v>
      </c>
      <c r="L81" s="18">
        <f t="shared" si="10"/>
        <v>8</v>
      </c>
      <c r="M81" s="18" t="str">
        <f t="shared" si="11"/>
        <v>low</v>
      </c>
      <c r="N81" s="18" t="str">
        <f t="shared" si="12"/>
        <v>weekday</v>
      </c>
      <c r="O81" s="18">
        <f t="shared" si="13"/>
        <v>80</v>
      </c>
    </row>
    <row r="82" spans="1:15">
      <c r="A82">
        <v>81</v>
      </c>
      <c r="B82" s="13">
        <v>46241</v>
      </c>
      <c r="C82" t="s">
        <v>10</v>
      </c>
      <c r="D82" t="s">
        <v>50</v>
      </c>
      <c r="E82" t="s">
        <v>51</v>
      </c>
      <c r="F82" s="14">
        <v>3108.28</v>
      </c>
      <c r="G82" t="s">
        <v>13</v>
      </c>
      <c r="H82" t="s">
        <v>26</v>
      </c>
      <c r="I82" t="s">
        <v>21</v>
      </c>
      <c r="J82" t="s">
        <v>16</v>
      </c>
      <c r="K82" s="18" t="str">
        <f t="shared" si="9"/>
        <v>August</v>
      </c>
      <c r="L82" s="18">
        <f t="shared" si="10"/>
        <v>8</v>
      </c>
      <c r="M82" s="18" t="str">
        <f t="shared" si="11"/>
        <v>high</v>
      </c>
      <c r="N82" s="18" t="str">
        <f t="shared" si="12"/>
        <v>weekday</v>
      </c>
      <c r="O82" s="18">
        <f t="shared" si="13"/>
        <v>81</v>
      </c>
    </row>
    <row r="83" spans="1:15">
      <c r="A83">
        <v>82</v>
      </c>
      <c r="B83" s="13">
        <v>46242</v>
      </c>
      <c r="C83" t="s">
        <v>46</v>
      </c>
      <c r="D83" t="s">
        <v>30</v>
      </c>
      <c r="E83" t="s">
        <v>31</v>
      </c>
      <c r="F83" s="14">
        <v>2734.66</v>
      </c>
      <c r="G83" t="s">
        <v>32</v>
      </c>
      <c r="H83" t="s">
        <v>35</v>
      </c>
      <c r="I83" t="s">
        <v>21</v>
      </c>
      <c r="J83" t="s">
        <v>22</v>
      </c>
      <c r="K83" s="18" t="str">
        <f t="shared" si="9"/>
        <v>August</v>
      </c>
      <c r="L83" s="18">
        <f t="shared" si="10"/>
        <v>8</v>
      </c>
      <c r="M83" s="18" t="str">
        <f t="shared" si="11"/>
        <v>medium</v>
      </c>
      <c r="N83" s="18" t="str">
        <f t="shared" si="12"/>
        <v>weekend</v>
      </c>
      <c r="O83" s="18">
        <f t="shared" si="13"/>
        <v>82</v>
      </c>
    </row>
    <row r="84" spans="1:15">
      <c r="A84">
        <v>83</v>
      </c>
      <c r="B84" s="13">
        <v>46243</v>
      </c>
      <c r="C84" t="s">
        <v>36</v>
      </c>
      <c r="D84" t="s">
        <v>18</v>
      </c>
      <c r="E84" t="s">
        <v>19</v>
      </c>
      <c r="F84" s="14">
        <v>516.5</v>
      </c>
      <c r="G84" t="s">
        <v>13</v>
      </c>
      <c r="H84" t="s">
        <v>33</v>
      </c>
      <c r="I84" t="s">
        <v>21</v>
      </c>
      <c r="J84" t="s">
        <v>22</v>
      </c>
      <c r="K84" s="18" t="str">
        <f t="shared" si="9"/>
        <v>August</v>
      </c>
      <c r="L84" s="18">
        <f t="shared" si="10"/>
        <v>8</v>
      </c>
      <c r="M84" s="18" t="str">
        <f t="shared" si="11"/>
        <v>low</v>
      </c>
      <c r="N84" s="18" t="str">
        <f t="shared" si="12"/>
        <v>weekend</v>
      </c>
      <c r="O84" s="18">
        <f t="shared" si="13"/>
        <v>83</v>
      </c>
    </row>
    <row r="85" spans="1:15">
      <c r="A85">
        <v>84</v>
      </c>
      <c r="B85" s="13">
        <v>46245</v>
      </c>
      <c r="C85" t="s">
        <v>59</v>
      </c>
      <c r="D85" t="s">
        <v>11</v>
      </c>
      <c r="E85" t="s">
        <v>34</v>
      </c>
      <c r="F85" s="14">
        <v>246.08</v>
      </c>
      <c r="G85" t="s">
        <v>25</v>
      </c>
      <c r="H85" t="s">
        <v>33</v>
      </c>
      <c r="I85" t="s">
        <v>15</v>
      </c>
      <c r="J85" t="s">
        <v>22</v>
      </c>
      <c r="K85" s="18" t="str">
        <f t="shared" si="9"/>
        <v>August</v>
      </c>
      <c r="L85" s="18">
        <f t="shared" si="10"/>
        <v>8</v>
      </c>
      <c r="M85" s="18" t="str">
        <f t="shared" si="11"/>
        <v>low</v>
      </c>
      <c r="N85" s="18" t="str">
        <f t="shared" si="12"/>
        <v>weekday</v>
      </c>
      <c r="O85" s="18">
        <f t="shared" si="13"/>
        <v>84</v>
      </c>
    </row>
    <row r="86" spans="1:15">
      <c r="A86">
        <v>85</v>
      </c>
      <c r="B86" s="13">
        <v>46245</v>
      </c>
      <c r="C86" t="s">
        <v>59</v>
      </c>
      <c r="D86" t="s">
        <v>27</v>
      </c>
      <c r="E86" t="s">
        <v>40</v>
      </c>
      <c r="F86" s="14">
        <v>561.67</v>
      </c>
      <c r="G86" t="s">
        <v>13</v>
      </c>
      <c r="H86" t="s">
        <v>33</v>
      </c>
      <c r="I86" t="s">
        <v>15</v>
      </c>
      <c r="J86" t="s">
        <v>22</v>
      </c>
      <c r="K86" s="18" t="str">
        <f t="shared" si="9"/>
        <v>August</v>
      </c>
      <c r="L86" s="18">
        <f t="shared" si="10"/>
        <v>8</v>
      </c>
      <c r="M86" s="18" t="str">
        <f t="shared" si="11"/>
        <v>low</v>
      </c>
      <c r="N86" s="18" t="str">
        <f t="shared" si="12"/>
        <v>weekday</v>
      </c>
      <c r="O86" s="18">
        <f t="shared" si="13"/>
        <v>85</v>
      </c>
    </row>
    <row r="87" spans="1:15">
      <c r="A87">
        <v>86</v>
      </c>
      <c r="B87" s="13">
        <v>46248</v>
      </c>
      <c r="C87" t="s">
        <v>10</v>
      </c>
      <c r="D87" t="s">
        <v>18</v>
      </c>
      <c r="E87" t="s">
        <v>44</v>
      </c>
      <c r="F87" s="14">
        <v>1112.13</v>
      </c>
      <c r="G87" t="s">
        <v>32</v>
      </c>
      <c r="H87" t="s">
        <v>33</v>
      </c>
      <c r="I87" t="s">
        <v>15</v>
      </c>
      <c r="J87" t="s">
        <v>22</v>
      </c>
      <c r="K87" s="18" t="str">
        <f t="shared" si="9"/>
        <v>August</v>
      </c>
      <c r="L87" s="18">
        <f t="shared" si="10"/>
        <v>8</v>
      </c>
      <c r="M87" s="18" t="str">
        <f t="shared" si="11"/>
        <v>medium</v>
      </c>
      <c r="N87" s="18" t="str">
        <f t="shared" si="12"/>
        <v>weekday</v>
      </c>
      <c r="O87" s="18">
        <f t="shared" si="13"/>
        <v>86</v>
      </c>
    </row>
    <row r="88" spans="1:15">
      <c r="A88">
        <v>87</v>
      </c>
      <c r="B88" s="13">
        <v>46249</v>
      </c>
      <c r="C88" t="s">
        <v>46</v>
      </c>
      <c r="D88" t="s">
        <v>11</v>
      </c>
      <c r="E88" t="s">
        <v>60</v>
      </c>
      <c r="F88" s="14">
        <v>1060.32</v>
      </c>
      <c r="G88" t="s">
        <v>20</v>
      </c>
      <c r="H88" t="s">
        <v>33</v>
      </c>
      <c r="I88" t="s">
        <v>21</v>
      </c>
      <c r="J88" t="s">
        <v>22</v>
      </c>
      <c r="K88" s="18" t="str">
        <f t="shared" si="9"/>
        <v>August</v>
      </c>
      <c r="L88" s="18">
        <f t="shared" si="10"/>
        <v>8</v>
      </c>
      <c r="M88" s="18" t="str">
        <f t="shared" si="11"/>
        <v>medium</v>
      </c>
      <c r="N88" s="18" t="str">
        <f t="shared" si="12"/>
        <v>weekend</v>
      </c>
      <c r="O88" s="18">
        <f t="shared" si="13"/>
        <v>87</v>
      </c>
    </row>
    <row r="89" spans="1:15">
      <c r="A89">
        <v>88</v>
      </c>
      <c r="B89" s="13">
        <v>46249</v>
      </c>
      <c r="C89" t="s">
        <v>46</v>
      </c>
      <c r="D89" t="s">
        <v>27</v>
      </c>
      <c r="E89" t="s">
        <v>40</v>
      </c>
      <c r="F89" s="14">
        <v>759.7</v>
      </c>
      <c r="G89" t="s">
        <v>20</v>
      </c>
      <c r="H89" t="s">
        <v>14</v>
      </c>
      <c r="I89" t="s">
        <v>15</v>
      </c>
      <c r="J89" t="s">
        <v>16</v>
      </c>
      <c r="K89" s="18" t="str">
        <f t="shared" si="9"/>
        <v>August</v>
      </c>
      <c r="L89" s="18">
        <f t="shared" si="10"/>
        <v>8</v>
      </c>
      <c r="M89" s="18" t="str">
        <f t="shared" si="11"/>
        <v>low</v>
      </c>
      <c r="N89" s="18" t="str">
        <f t="shared" si="12"/>
        <v>weekend</v>
      </c>
      <c r="O89" s="18">
        <f t="shared" si="13"/>
        <v>88</v>
      </c>
    </row>
    <row r="90" spans="1:15">
      <c r="A90">
        <v>89</v>
      </c>
      <c r="B90" s="13">
        <v>46251</v>
      </c>
      <c r="C90" t="s">
        <v>17</v>
      </c>
      <c r="D90" t="s">
        <v>42</v>
      </c>
      <c r="E90" t="s">
        <v>66</v>
      </c>
      <c r="F90" s="14">
        <v>3035.92</v>
      </c>
      <c r="G90" t="s">
        <v>20</v>
      </c>
      <c r="H90" t="s">
        <v>33</v>
      </c>
      <c r="I90" t="s">
        <v>15</v>
      </c>
      <c r="J90" t="s">
        <v>16</v>
      </c>
      <c r="K90" s="18" t="str">
        <f t="shared" si="9"/>
        <v>August</v>
      </c>
      <c r="L90" s="18">
        <f t="shared" si="10"/>
        <v>8</v>
      </c>
      <c r="M90" s="18" t="str">
        <f t="shared" si="11"/>
        <v>high</v>
      </c>
      <c r="N90" s="18" t="str">
        <f t="shared" si="12"/>
        <v>weekday</v>
      </c>
      <c r="O90" s="18">
        <f t="shared" si="13"/>
        <v>89</v>
      </c>
    </row>
    <row r="91" spans="1:15">
      <c r="A91">
        <v>90</v>
      </c>
      <c r="B91" s="13">
        <v>46253</v>
      </c>
      <c r="C91" t="s">
        <v>39</v>
      </c>
      <c r="D91" t="s">
        <v>42</v>
      </c>
      <c r="E91" t="s">
        <v>67</v>
      </c>
      <c r="F91" s="14">
        <v>4424.87</v>
      </c>
      <c r="G91" t="s">
        <v>13</v>
      </c>
      <c r="H91" t="s">
        <v>26</v>
      </c>
      <c r="I91" t="s">
        <v>21</v>
      </c>
      <c r="J91" t="s">
        <v>22</v>
      </c>
      <c r="K91" s="18" t="str">
        <f t="shared" si="9"/>
        <v>August</v>
      </c>
      <c r="L91" s="18">
        <f t="shared" si="10"/>
        <v>8</v>
      </c>
      <c r="M91" s="18" t="str">
        <f t="shared" si="11"/>
        <v>high</v>
      </c>
      <c r="N91" s="18" t="str">
        <f t="shared" si="12"/>
        <v>weekday</v>
      </c>
      <c r="O91" s="18">
        <f t="shared" si="13"/>
        <v>90</v>
      </c>
    </row>
    <row r="92" spans="1:15">
      <c r="A92">
        <v>91</v>
      </c>
      <c r="B92" s="13">
        <v>46254</v>
      </c>
      <c r="C92" t="s">
        <v>23</v>
      </c>
      <c r="D92" t="s">
        <v>47</v>
      </c>
      <c r="E92" t="s">
        <v>64</v>
      </c>
      <c r="F92" s="14">
        <v>313.97</v>
      </c>
      <c r="G92" t="s">
        <v>20</v>
      </c>
      <c r="H92" t="s">
        <v>35</v>
      </c>
      <c r="I92" t="s">
        <v>15</v>
      </c>
      <c r="J92" t="s">
        <v>22</v>
      </c>
      <c r="K92" s="18" t="str">
        <f t="shared" si="9"/>
        <v>August</v>
      </c>
      <c r="L92" s="18">
        <f t="shared" si="10"/>
        <v>8</v>
      </c>
      <c r="M92" s="18" t="str">
        <f t="shared" si="11"/>
        <v>low</v>
      </c>
      <c r="N92" s="18" t="str">
        <f t="shared" si="12"/>
        <v>weekday</v>
      </c>
      <c r="O92" s="18">
        <f t="shared" si="13"/>
        <v>91</v>
      </c>
    </row>
    <row r="93" spans="1:15">
      <c r="A93">
        <v>92</v>
      </c>
      <c r="B93" s="13">
        <v>46255</v>
      </c>
      <c r="C93" t="s">
        <v>10</v>
      </c>
      <c r="D93" t="s">
        <v>11</v>
      </c>
      <c r="E93" t="s">
        <v>12</v>
      </c>
      <c r="F93" s="14">
        <v>883.65</v>
      </c>
      <c r="G93" t="s">
        <v>13</v>
      </c>
      <c r="H93" t="s">
        <v>35</v>
      </c>
      <c r="I93" t="s">
        <v>15</v>
      </c>
      <c r="J93" t="s">
        <v>16</v>
      </c>
      <c r="K93" s="18" t="str">
        <f t="shared" si="9"/>
        <v>August</v>
      </c>
      <c r="L93" s="18">
        <f t="shared" si="10"/>
        <v>8</v>
      </c>
      <c r="M93" s="18" t="str">
        <f t="shared" si="11"/>
        <v>low</v>
      </c>
      <c r="N93" s="18" t="str">
        <f t="shared" si="12"/>
        <v>weekday</v>
      </c>
      <c r="O93" s="18">
        <f t="shared" si="13"/>
        <v>92</v>
      </c>
    </row>
    <row r="94" spans="1:15">
      <c r="A94">
        <v>93</v>
      </c>
      <c r="B94" s="13">
        <v>46257</v>
      </c>
      <c r="C94" t="s">
        <v>36</v>
      </c>
      <c r="D94" t="s">
        <v>11</v>
      </c>
      <c r="E94" t="s">
        <v>34</v>
      </c>
      <c r="F94" s="14">
        <v>197.98</v>
      </c>
      <c r="G94" t="s">
        <v>29</v>
      </c>
      <c r="H94" t="s">
        <v>26</v>
      </c>
      <c r="I94" t="s">
        <v>15</v>
      </c>
      <c r="J94" t="s">
        <v>16</v>
      </c>
      <c r="K94" s="18" t="str">
        <f t="shared" si="9"/>
        <v>August</v>
      </c>
      <c r="L94" s="18">
        <f t="shared" si="10"/>
        <v>8</v>
      </c>
      <c r="M94" s="18" t="str">
        <f t="shared" si="11"/>
        <v>low</v>
      </c>
      <c r="N94" s="18" t="str">
        <f t="shared" si="12"/>
        <v>weekend</v>
      </c>
      <c r="O94" s="18">
        <f t="shared" si="13"/>
        <v>93</v>
      </c>
    </row>
    <row r="95" spans="1:15">
      <c r="A95">
        <v>94</v>
      </c>
      <c r="B95" s="13">
        <v>46258</v>
      </c>
      <c r="C95" t="s">
        <v>17</v>
      </c>
      <c r="D95" t="s">
        <v>37</v>
      </c>
      <c r="E95" t="s">
        <v>55</v>
      </c>
      <c r="F95" s="14">
        <v>525.71</v>
      </c>
      <c r="G95" t="s">
        <v>32</v>
      </c>
      <c r="H95" t="s">
        <v>41</v>
      </c>
      <c r="I95" t="s">
        <v>15</v>
      </c>
      <c r="J95" t="s">
        <v>22</v>
      </c>
      <c r="K95" s="18" t="str">
        <f t="shared" si="9"/>
        <v>August</v>
      </c>
      <c r="L95" s="18">
        <f t="shared" si="10"/>
        <v>8</v>
      </c>
      <c r="M95" s="18" t="str">
        <f t="shared" si="11"/>
        <v>low</v>
      </c>
      <c r="N95" s="18" t="str">
        <f t="shared" si="12"/>
        <v>weekday</v>
      </c>
      <c r="O95" s="18">
        <f t="shared" si="13"/>
        <v>94</v>
      </c>
    </row>
    <row r="96" spans="1:15">
      <c r="A96">
        <v>95</v>
      </c>
      <c r="B96" s="13">
        <v>46258</v>
      </c>
      <c r="C96" t="s">
        <v>17</v>
      </c>
      <c r="D96" t="s">
        <v>27</v>
      </c>
      <c r="E96" t="s">
        <v>40</v>
      </c>
      <c r="F96" s="14">
        <v>228.72</v>
      </c>
      <c r="G96" t="s">
        <v>29</v>
      </c>
      <c r="H96" t="s">
        <v>41</v>
      </c>
      <c r="I96" t="s">
        <v>15</v>
      </c>
      <c r="J96" t="s">
        <v>22</v>
      </c>
      <c r="K96" s="18" t="str">
        <f t="shared" si="9"/>
        <v>August</v>
      </c>
      <c r="L96" s="18">
        <f t="shared" si="10"/>
        <v>8</v>
      </c>
      <c r="M96" s="18" t="str">
        <f t="shared" si="11"/>
        <v>low</v>
      </c>
      <c r="N96" s="18" t="str">
        <f t="shared" si="12"/>
        <v>weekday</v>
      </c>
      <c r="O96" s="18">
        <f t="shared" si="13"/>
        <v>95</v>
      </c>
    </row>
    <row r="97" spans="1:15">
      <c r="A97">
        <v>96</v>
      </c>
      <c r="B97" s="13">
        <v>46261</v>
      </c>
      <c r="C97" t="s">
        <v>23</v>
      </c>
      <c r="D97" t="s">
        <v>27</v>
      </c>
      <c r="E97" t="s">
        <v>40</v>
      </c>
      <c r="F97" s="14">
        <v>1257.08</v>
      </c>
      <c r="G97" t="s">
        <v>32</v>
      </c>
      <c r="H97" t="s">
        <v>33</v>
      </c>
      <c r="I97" t="s">
        <v>21</v>
      </c>
      <c r="J97" t="s">
        <v>16</v>
      </c>
      <c r="K97" s="18" t="str">
        <f t="shared" si="9"/>
        <v>August</v>
      </c>
      <c r="L97" s="18">
        <f t="shared" si="10"/>
        <v>8</v>
      </c>
      <c r="M97" s="18" t="str">
        <f t="shared" si="11"/>
        <v>medium</v>
      </c>
      <c r="N97" s="18" t="str">
        <f t="shared" si="12"/>
        <v>weekday</v>
      </c>
      <c r="O97" s="18">
        <f t="shared" si="13"/>
        <v>96</v>
      </c>
    </row>
    <row r="98" spans="1:15">
      <c r="A98">
        <v>97</v>
      </c>
      <c r="B98" s="13">
        <v>46261</v>
      </c>
      <c r="C98" t="s">
        <v>23</v>
      </c>
      <c r="D98" t="s">
        <v>11</v>
      </c>
      <c r="E98" t="s">
        <v>12</v>
      </c>
      <c r="F98" s="14">
        <v>560.78</v>
      </c>
      <c r="G98" t="s">
        <v>25</v>
      </c>
      <c r="H98" t="s">
        <v>41</v>
      </c>
      <c r="I98" t="s">
        <v>15</v>
      </c>
      <c r="J98" t="s">
        <v>16</v>
      </c>
      <c r="K98" s="18" t="str">
        <f t="shared" si="9"/>
        <v>August</v>
      </c>
      <c r="L98" s="18">
        <f t="shared" si="10"/>
        <v>8</v>
      </c>
      <c r="M98" s="18" t="str">
        <f t="shared" si="11"/>
        <v>low</v>
      </c>
      <c r="N98" s="18" t="str">
        <f t="shared" si="12"/>
        <v>weekday</v>
      </c>
      <c r="O98" s="18">
        <f t="shared" si="13"/>
        <v>97</v>
      </c>
    </row>
    <row r="99" spans="1:15">
      <c r="A99">
        <v>98</v>
      </c>
      <c r="B99" s="13">
        <v>46262</v>
      </c>
      <c r="C99" t="s">
        <v>10</v>
      </c>
      <c r="D99" t="s">
        <v>11</v>
      </c>
      <c r="E99" t="s">
        <v>34</v>
      </c>
      <c r="F99" s="14">
        <v>332.07</v>
      </c>
      <c r="G99" t="s">
        <v>13</v>
      </c>
      <c r="H99" t="s">
        <v>35</v>
      </c>
      <c r="I99" t="s">
        <v>15</v>
      </c>
      <c r="J99" t="s">
        <v>22</v>
      </c>
      <c r="K99" s="18" t="str">
        <f t="shared" si="9"/>
        <v>August</v>
      </c>
      <c r="L99" s="18">
        <f t="shared" si="10"/>
        <v>8</v>
      </c>
      <c r="M99" s="18" t="str">
        <f t="shared" si="11"/>
        <v>low</v>
      </c>
      <c r="N99" s="18" t="str">
        <f t="shared" si="12"/>
        <v>weekday</v>
      </c>
      <c r="O99" s="18">
        <f t="shared" si="13"/>
        <v>98</v>
      </c>
    </row>
    <row r="100" spans="1:15">
      <c r="A100">
        <v>99</v>
      </c>
      <c r="B100" s="13">
        <v>46263</v>
      </c>
      <c r="C100" t="s">
        <v>46</v>
      </c>
      <c r="D100" t="s">
        <v>37</v>
      </c>
      <c r="E100" t="s">
        <v>55</v>
      </c>
      <c r="F100" s="14">
        <v>707.78</v>
      </c>
      <c r="G100" t="s">
        <v>32</v>
      </c>
      <c r="H100" t="s">
        <v>26</v>
      </c>
      <c r="I100" t="s">
        <v>21</v>
      </c>
      <c r="J100" t="s">
        <v>16</v>
      </c>
      <c r="K100" s="18" t="str">
        <f t="shared" si="9"/>
        <v>August</v>
      </c>
      <c r="L100" s="18">
        <f t="shared" si="10"/>
        <v>8</v>
      </c>
      <c r="M100" s="18" t="str">
        <f t="shared" si="11"/>
        <v>low</v>
      </c>
      <c r="N100" s="18" t="str">
        <f t="shared" si="12"/>
        <v>weekend</v>
      </c>
      <c r="O100" s="18">
        <f t="shared" si="13"/>
        <v>99</v>
      </c>
    </row>
    <row r="101" spans="1:15">
      <c r="A101">
        <v>100</v>
      </c>
      <c r="B101" s="13">
        <v>46263</v>
      </c>
      <c r="C101" t="s">
        <v>46</v>
      </c>
      <c r="D101" t="s">
        <v>18</v>
      </c>
      <c r="E101" t="s">
        <v>44</v>
      </c>
      <c r="F101" s="14">
        <v>2064.18</v>
      </c>
      <c r="G101" t="s">
        <v>29</v>
      </c>
      <c r="H101" t="s">
        <v>33</v>
      </c>
      <c r="I101" t="s">
        <v>15</v>
      </c>
      <c r="J101" t="s">
        <v>16</v>
      </c>
      <c r="K101" s="18" t="str">
        <f t="shared" si="9"/>
        <v>August</v>
      </c>
      <c r="L101" s="18">
        <f t="shared" si="10"/>
        <v>8</v>
      </c>
      <c r="M101" s="18" t="str">
        <f t="shared" si="11"/>
        <v>medium</v>
      </c>
      <c r="N101" s="18" t="str">
        <f t="shared" si="12"/>
        <v>weekend</v>
      </c>
      <c r="O101" s="18">
        <f t="shared" si="13"/>
        <v>100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1"/>
  <sheetViews>
    <sheetView workbookViewId="0">
      <selection activeCell="B9" sqref="B9"/>
    </sheetView>
  </sheetViews>
  <sheetFormatPr defaultColWidth="8.88888888888889" defaultRowHeight="14.4"/>
  <cols>
    <col min="1" max="1" width="13.7777777777778"/>
    <col min="2" max="2" width="21"/>
    <col min="6" max="6" width="11.6666666666667"/>
    <col min="7" max="7" width="21"/>
    <col min="10" max="10" width="11.6666666666667"/>
    <col min="11" max="11" width="21"/>
  </cols>
  <sheetData>
    <row r="3" spans="1:11">
      <c r="A3" t="s">
        <v>3</v>
      </c>
      <c r="B3" t="s">
        <v>73</v>
      </c>
      <c r="F3" t="s">
        <v>6</v>
      </c>
      <c r="G3" t="s">
        <v>73</v>
      </c>
      <c r="J3" t="s">
        <v>7</v>
      </c>
      <c r="K3" t="s">
        <v>73</v>
      </c>
    </row>
    <row r="4" spans="1:11">
      <c r="A4" t="s">
        <v>27</v>
      </c>
      <c r="B4">
        <v>27850.2</v>
      </c>
      <c r="F4" t="s">
        <v>20</v>
      </c>
      <c r="G4">
        <v>26941.67</v>
      </c>
      <c r="J4" t="s">
        <v>26</v>
      </c>
      <c r="K4">
        <v>31097.53</v>
      </c>
    </row>
    <row r="5" spans="1:11">
      <c r="A5" t="s">
        <v>50</v>
      </c>
      <c r="B5">
        <v>19377.25</v>
      </c>
      <c r="F5" t="s">
        <v>29</v>
      </c>
      <c r="G5">
        <v>17973.33</v>
      </c>
      <c r="J5" t="s">
        <v>41</v>
      </c>
      <c r="K5">
        <v>17641.54</v>
      </c>
    </row>
    <row r="6" spans="1:11">
      <c r="A6" t="s">
        <v>47</v>
      </c>
      <c r="B6">
        <v>10715.69</v>
      </c>
      <c r="F6" t="s">
        <v>32</v>
      </c>
      <c r="G6">
        <v>24542.72</v>
      </c>
      <c r="J6" t="s">
        <v>35</v>
      </c>
      <c r="K6">
        <v>24979.91</v>
      </c>
    </row>
    <row r="7" spans="1:11">
      <c r="A7" t="s">
        <v>37</v>
      </c>
      <c r="B7">
        <v>6998.23</v>
      </c>
      <c r="F7" t="s">
        <v>25</v>
      </c>
      <c r="G7">
        <v>31310.31</v>
      </c>
      <c r="J7" t="s">
        <v>33</v>
      </c>
      <c r="K7">
        <v>26813.92</v>
      </c>
    </row>
    <row r="8" spans="1:11">
      <c r="A8" t="s">
        <v>30</v>
      </c>
      <c r="B8">
        <v>12566.75</v>
      </c>
      <c r="F8" t="s">
        <v>13</v>
      </c>
      <c r="G8">
        <v>24586.66</v>
      </c>
      <c r="J8" t="s">
        <v>14</v>
      </c>
      <c r="K8">
        <v>24821.79</v>
      </c>
    </row>
    <row r="9" spans="1:11">
      <c r="A9" t="s">
        <v>18</v>
      </c>
      <c r="B9">
        <v>22605.43</v>
      </c>
      <c r="F9" t="s">
        <v>74</v>
      </c>
      <c r="G9">
        <v>125354.69</v>
      </c>
      <c r="J9" t="s">
        <v>74</v>
      </c>
      <c r="K9">
        <v>125354.69</v>
      </c>
    </row>
    <row r="10" spans="1:11">
      <c r="A10" t="s">
        <v>42</v>
      </c>
      <c r="B10">
        <v>14473.93</v>
      </c>
    </row>
    <row r="11" spans="1:11">
      <c r="A11" t="s">
        <v>11</v>
      </c>
      <c r="B11">
        <v>10767.21</v>
      </c>
    </row>
    <row r="12" spans="1:11">
      <c r="A12" t="s">
        <v>74</v>
      </c>
      <c r="B12">
        <v>125354.69</v>
      </c>
    </row>
    <row r="16" spans="1:11">
      <c r="A16" t="s">
        <v>9</v>
      </c>
      <c r="B16" t="s">
        <v>73</v>
      </c>
      <c r="F16" t="s">
        <v>68</v>
      </c>
      <c r="G16" t="s">
        <v>73</v>
      </c>
    </row>
    <row r="17" spans="1:7">
      <c r="A17" t="s">
        <v>16</v>
      </c>
      <c r="B17">
        <v>62135.59</v>
      </c>
      <c r="F17" t="s">
        <v>75</v>
      </c>
      <c r="G17">
        <v>25787.56</v>
      </c>
    </row>
    <row r="18" spans="1:7">
      <c r="A18" t="s">
        <v>22</v>
      </c>
      <c r="B18">
        <v>63219.1</v>
      </c>
      <c r="F18" t="s">
        <v>76</v>
      </c>
      <c r="G18">
        <v>30740.54</v>
      </c>
    </row>
    <row r="19" spans="1:7">
      <c r="A19" t="s">
        <v>74</v>
      </c>
      <c r="B19">
        <v>125354.69</v>
      </c>
      <c r="F19" t="s">
        <v>77</v>
      </c>
      <c r="G19">
        <v>40054.61</v>
      </c>
    </row>
    <row r="20" spans="1:7">
      <c r="F20" t="s">
        <v>78</v>
      </c>
      <c r="G20">
        <v>28771.98</v>
      </c>
    </row>
    <row r="21" spans="1:7">
      <c r="F21" t="s">
        <v>74</v>
      </c>
      <c r="G21">
        <v>125354.69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8"/>
  <sheetViews>
    <sheetView workbookViewId="0">
      <selection activeCell="H24" sqref="H24"/>
    </sheetView>
  </sheetViews>
  <sheetFormatPr defaultColWidth="8.88888888888889" defaultRowHeight="14.4" outlineLevelRow="7" outlineLevelCol="2"/>
  <cols>
    <col min="2" max="2" width="17.7777777777778" customWidth="1"/>
    <col min="3" max="3" width="23.1111111111111" customWidth="1"/>
  </cols>
  <sheetData>
    <row r="3" spans="2:3">
      <c r="B3" s="11" t="s">
        <v>79</v>
      </c>
      <c r="C3" s="11" t="s">
        <v>80</v>
      </c>
    </row>
    <row r="4" spans="2:3">
      <c r="B4" t="s">
        <v>81</v>
      </c>
      <c r="C4" s="12">
        <f>SUM('Cleaned data'!F2:F101)</f>
        <v>125354.69</v>
      </c>
    </row>
    <row r="5" spans="2:3">
      <c r="B5" t="s">
        <v>82</v>
      </c>
      <c r="C5" s="12">
        <f>AVERAGE('Cleaned data'!F2:F101)</f>
        <v>1253.5469</v>
      </c>
    </row>
    <row r="6" spans="2:3">
      <c r="B6" t="s">
        <v>83</v>
      </c>
      <c r="C6">
        <f>COUNT('Cleaned data'!A2:A101)</f>
        <v>100</v>
      </c>
    </row>
    <row r="7" spans="2:3">
      <c r="B7" t="s">
        <v>84</v>
      </c>
      <c r="C7">
        <f>MAX('Cleaned data'!F2:F101)</f>
        <v>4983.83</v>
      </c>
    </row>
    <row r="8" spans="2:3">
      <c r="B8" t="s">
        <v>85</v>
      </c>
      <c r="C8">
        <f>MIN('Cleaned data'!F2:F101)</f>
        <v>129.97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V11"/>
  <sheetViews>
    <sheetView zoomScale="50" zoomScaleNormal="50" workbookViewId="0">
      <selection activeCell="E5" sqref="E5"/>
    </sheetView>
  </sheetViews>
  <sheetFormatPr defaultColWidth="8.88888888888889" defaultRowHeight="14.4"/>
  <cols>
    <col min="7" max="7" width="12.8888888888889"/>
    <col min="11" max="11" width="10.6666666666667"/>
  </cols>
  <sheetData>
    <row r="1" ht="19.8" spans="5:22">
      <c r="E1" s="1"/>
      <c r="F1" s="2"/>
      <c r="G1" s="3" t="s">
        <v>86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8.6" spans="5:22"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5:22"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ht="21" spans="5:22">
      <c r="G5" s="6" t="s">
        <v>87</v>
      </c>
      <c r="H5" s="6"/>
      <c r="I5" s="7"/>
      <c r="J5" s="7"/>
      <c r="K5" s="6" t="s">
        <v>82</v>
      </c>
      <c r="L5" s="6"/>
      <c r="M5" s="6"/>
      <c r="O5" s="6" t="s">
        <v>83</v>
      </c>
      <c r="P5" s="6"/>
      <c r="R5" s="6" t="s">
        <v>88</v>
      </c>
      <c r="S5" s="6"/>
      <c r="U5" s="6" t="s">
        <v>89</v>
      </c>
      <c r="V5" s="6"/>
    </row>
    <row r="6" ht="18" spans="5:22">
      <c r="G6" s="8">
        <f>SUM('Cleaned data'!F2:F101)</f>
        <v>125354.69</v>
      </c>
      <c r="H6" s="8"/>
      <c r="I6" s="7"/>
      <c r="J6" s="7"/>
      <c r="K6" s="8">
        <f>AVERAGE('Cleaned data'!F2:F101)</f>
        <v>1253.5469</v>
      </c>
      <c r="L6" s="8"/>
      <c r="O6" s="9">
        <f>COUNT('Cleaned data'!F2:F101)</f>
        <v>100</v>
      </c>
      <c r="P6" s="9"/>
      <c r="R6" s="9">
        <f>MAX('Cleaned data'!F2:F101)</f>
        <v>4983.83</v>
      </c>
      <c r="S6" s="9"/>
      <c r="U6" s="9">
        <f>MIN('Cleaned data'!F2:F101)</f>
        <v>129.97</v>
      </c>
      <c r="V6" s="9"/>
    </row>
    <row r="7" spans="5:22">
      <c r="G7" s="7"/>
      <c r="H7" s="7"/>
      <c r="I7" s="7"/>
      <c r="J7" s="7"/>
    </row>
    <row r="11" spans="5:22">
      <c r="H11" s="10"/>
    </row>
  </sheetData>
  <mergeCells count="11">
    <mergeCell ref="G5:H5"/>
    <mergeCell ref="K5:M5"/>
    <mergeCell ref="O5:P5"/>
    <mergeCell ref="R5:S5"/>
    <mergeCell ref="U5:V5"/>
    <mergeCell ref="G6:H6"/>
    <mergeCell ref="K6:L6"/>
    <mergeCell ref="O6:P6"/>
    <mergeCell ref="R6:S6"/>
    <mergeCell ref="U6:V6"/>
    <mergeCell ref="G1:T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Pivot Table</vt:lpstr>
      <vt:lpstr>KPI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Anusha</cp:lastModifiedBy>
  <dcterms:created xsi:type="dcterms:W3CDTF">2026-08-31T12:18:00Z</dcterms:created>
  <dcterms:modified xsi:type="dcterms:W3CDTF">2026-09-22T10:58:21Z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A4388C888F6542F5881CB4546333BD51_13</vt:lpwstr>
  </property>
</Properties>
</file>